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02_Submission_Papper\07_ReviewClassification\Clustering\Cluster-Analysis\Data-analyze-second-times\"/>
    </mc:Choice>
  </mc:AlternateContent>
  <xr:revisionPtr revIDLastSave="0" documentId="13_ncr:1_{85B1C109-CC36-4F65-9E64-BD39594125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ustering-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2" i="1" l="1"/>
  <c r="AD2" i="1" s="1"/>
  <c r="AB3" i="1"/>
  <c r="AD3" i="1"/>
  <c r="AC3" i="1"/>
  <c r="AF3" i="1" s="1"/>
  <c r="AC4" i="1"/>
  <c r="AF4" i="1" s="1"/>
  <c r="AC5" i="1"/>
  <c r="AF5" i="1" s="1"/>
  <c r="AC6" i="1"/>
  <c r="AF6" i="1" s="1"/>
  <c r="AC7" i="1"/>
  <c r="AF7" i="1" s="1"/>
  <c r="AC8" i="1"/>
  <c r="AF8" i="1" s="1"/>
  <c r="AC9" i="1"/>
  <c r="AF9" i="1" s="1"/>
  <c r="AC10" i="1"/>
  <c r="AF10" i="1" s="1"/>
  <c r="AC11" i="1"/>
  <c r="AF11" i="1" s="1"/>
  <c r="AC12" i="1"/>
  <c r="AF12" i="1" s="1"/>
  <c r="AC13" i="1"/>
  <c r="AF13" i="1" s="1"/>
  <c r="AC14" i="1"/>
  <c r="AF14" i="1" s="1"/>
  <c r="AC15" i="1"/>
  <c r="AF15" i="1" s="1"/>
  <c r="AC16" i="1"/>
  <c r="AF16" i="1" s="1"/>
  <c r="AC17" i="1"/>
  <c r="AF17" i="1" s="1"/>
  <c r="AC18" i="1"/>
  <c r="AF18" i="1" s="1"/>
  <c r="AC19" i="1"/>
  <c r="AF19" i="1" s="1"/>
  <c r="AC20" i="1"/>
  <c r="AF20" i="1" s="1"/>
  <c r="AC21" i="1"/>
  <c r="AF21" i="1" s="1"/>
  <c r="AC22" i="1"/>
  <c r="AF22" i="1" s="1"/>
  <c r="AC23" i="1"/>
  <c r="AF23" i="1" s="1"/>
  <c r="AC24" i="1"/>
  <c r="AF24" i="1" s="1"/>
  <c r="AC25" i="1"/>
  <c r="AF25" i="1" s="1"/>
  <c r="AC26" i="1"/>
  <c r="AF26" i="1" s="1"/>
  <c r="AC27" i="1"/>
  <c r="AF27" i="1" s="1"/>
  <c r="AC28" i="1"/>
  <c r="AF28" i="1" s="1"/>
  <c r="AC29" i="1"/>
  <c r="AF29" i="1" s="1"/>
  <c r="AC30" i="1"/>
  <c r="AF30" i="1" s="1"/>
  <c r="AC31" i="1"/>
  <c r="AF31" i="1" s="1"/>
  <c r="AC32" i="1"/>
  <c r="AF32" i="1" s="1"/>
  <c r="AC33" i="1"/>
  <c r="AF33" i="1" s="1"/>
  <c r="AC34" i="1"/>
  <c r="AF34" i="1" s="1"/>
  <c r="AC35" i="1"/>
  <c r="AF35" i="1" s="1"/>
  <c r="AC36" i="1"/>
  <c r="AF36" i="1" s="1"/>
  <c r="AC37" i="1"/>
  <c r="AF37" i="1" s="1"/>
  <c r="AC38" i="1"/>
  <c r="AF38" i="1" s="1"/>
  <c r="AC39" i="1"/>
  <c r="AF39" i="1" s="1"/>
  <c r="AC40" i="1"/>
  <c r="AF40" i="1" s="1"/>
  <c r="AC41" i="1"/>
  <c r="AF41" i="1" s="1"/>
  <c r="AC42" i="1"/>
  <c r="AF42" i="1" s="1"/>
  <c r="AC43" i="1"/>
  <c r="AF43" i="1" s="1"/>
  <c r="AC44" i="1"/>
  <c r="AF44" i="1" s="1"/>
  <c r="AC45" i="1"/>
  <c r="AF45" i="1" s="1"/>
  <c r="AC46" i="1"/>
  <c r="AF46" i="1" s="1"/>
  <c r="AC47" i="1"/>
  <c r="AF47" i="1" s="1"/>
  <c r="AC48" i="1"/>
  <c r="AF48" i="1" s="1"/>
  <c r="AC49" i="1"/>
  <c r="AF49" i="1" s="1"/>
  <c r="AC50" i="1"/>
  <c r="AF50" i="1" s="1"/>
  <c r="AC51" i="1"/>
  <c r="AF51" i="1" s="1"/>
  <c r="AC52" i="1"/>
  <c r="AF52" i="1" s="1"/>
  <c r="AC53" i="1"/>
  <c r="AF53" i="1" s="1"/>
  <c r="AC54" i="1"/>
  <c r="AF54" i="1" s="1"/>
  <c r="AC55" i="1"/>
  <c r="AF55" i="1" s="1"/>
  <c r="AC56" i="1"/>
  <c r="AF56" i="1" s="1"/>
  <c r="AC57" i="1"/>
  <c r="AF57" i="1" s="1"/>
  <c r="AC58" i="1"/>
  <c r="AF58" i="1" s="1"/>
  <c r="AC59" i="1"/>
  <c r="AF59" i="1" s="1"/>
  <c r="AC60" i="1"/>
  <c r="AF60" i="1" s="1"/>
  <c r="AC61" i="1"/>
  <c r="AF61" i="1" s="1"/>
  <c r="AC62" i="1"/>
  <c r="AF62" i="1" s="1"/>
  <c r="AC63" i="1"/>
  <c r="AF63" i="1" s="1"/>
  <c r="AC64" i="1"/>
  <c r="AF64" i="1" s="1"/>
  <c r="AC65" i="1"/>
  <c r="AF65" i="1" s="1"/>
  <c r="AC66" i="1"/>
  <c r="AF66" i="1" s="1"/>
  <c r="AC67" i="1"/>
  <c r="AF67" i="1" s="1"/>
  <c r="AC68" i="1"/>
  <c r="AF68" i="1" s="1"/>
  <c r="AC69" i="1"/>
  <c r="AF69" i="1" s="1"/>
  <c r="AC70" i="1"/>
  <c r="AF70" i="1" s="1"/>
  <c r="AC71" i="1"/>
  <c r="AF71" i="1" s="1"/>
  <c r="AC72" i="1"/>
  <c r="AF72" i="1" s="1"/>
  <c r="AC73" i="1"/>
  <c r="AF73" i="1" s="1"/>
  <c r="AC74" i="1"/>
  <c r="AF74" i="1" s="1"/>
  <c r="AB4" i="1"/>
  <c r="AE4" i="1" s="1"/>
  <c r="AB5" i="1"/>
  <c r="AE5" i="1" s="1"/>
  <c r="AB6" i="1"/>
  <c r="AE6" i="1" s="1"/>
  <c r="AB7" i="1"/>
  <c r="AE7" i="1" s="1"/>
  <c r="AB8" i="1"/>
  <c r="AE8" i="1" s="1"/>
  <c r="AB9" i="1"/>
  <c r="AD9" i="1" s="1"/>
  <c r="AB10" i="1"/>
  <c r="AE10" i="1" s="1"/>
  <c r="AB11" i="1"/>
  <c r="AE11" i="1" s="1"/>
  <c r="AB12" i="1"/>
  <c r="AE12" i="1" s="1"/>
  <c r="AB13" i="1"/>
  <c r="AD13" i="1" s="1"/>
  <c r="AB14" i="1"/>
  <c r="AE14" i="1" s="1"/>
  <c r="AB15" i="1"/>
  <c r="AD15" i="1" s="1"/>
  <c r="AB16" i="1"/>
  <c r="AE16" i="1" s="1"/>
  <c r="AB17" i="1"/>
  <c r="AE17" i="1" s="1"/>
  <c r="AB18" i="1"/>
  <c r="AE18" i="1" s="1"/>
  <c r="AB19" i="1"/>
  <c r="AD19" i="1" s="1"/>
  <c r="AB20" i="1"/>
  <c r="AD20" i="1" s="1"/>
  <c r="AB21" i="1"/>
  <c r="AD21" i="1" s="1"/>
  <c r="AB22" i="1"/>
  <c r="AE22" i="1" s="1"/>
  <c r="AB23" i="1"/>
  <c r="AE23" i="1" s="1"/>
  <c r="AB24" i="1"/>
  <c r="AE24" i="1" s="1"/>
  <c r="AB25" i="1"/>
  <c r="AE25" i="1" s="1"/>
  <c r="AB26" i="1"/>
  <c r="AE26" i="1" s="1"/>
  <c r="AB27" i="1"/>
  <c r="AD27" i="1" s="1"/>
  <c r="AB28" i="1"/>
  <c r="AE28" i="1" s="1"/>
  <c r="AB29" i="1"/>
  <c r="AE29" i="1" s="1"/>
  <c r="AB30" i="1"/>
  <c r="AE30" i="1" s="1"/>
  <c r="AB31" i="1"/>
  <c r="AD31" i="1" s="1"/>
  <c r="AB32" i="1"/>
  <c r="AE32" i="1" s="1"/>
  <c r="AB33" i="1"/>
  <c r="AD33" i="1" s="1"/>
  <c r="AB34" i="1"/>
  <c r="AE34" i="1" s="1"/>
  <c r="AB35" i="1"/>
  <c r="AE35" i="1" s="1"/>
  <c r="AB36" i="1"/>
  <c r="AE36" i="1" s="1"/>
  <c r="AB37" i="1"/>
  <c r="AD37" i="1" s="1"/>
  <c r="AB38" i="1"/>
  <c r="AE38" i="1" s="1"/>
  <c r="AB39" i="1"/>
  <c r="AD39" i="1" s="1"/>
  <c r="AB40" i="1"/>
  <c r="AE40" i="1" s="1"/>
  <c r="AB41" i="1"/>
  <c r="AE41" i="1" s="1"/>
  <c r="AB42" i="1"/>
  <c r="AE42" i="1" s="1"/>
  <c r="AB43" i="1"/>
  <c r="AE43" i="1" s="1"/>
  <c r="AB44" i="1"/>
  <c r="AE44" i="1" s="1"/>
  <c r="AB45" i="1"/>
  <c r="AD45" i="1" s="1"/>
  <c r="AB46" i="1"/>
  <c r="AE46" i="1" s="1"/>
  <c r="AB47" i="1"/>
  <c r="AE47" i="1" s="1"/>
  <c r="AB48" i="1"/>
  <c r="AE48" i="1" s="1"/>
  <c r="AB49" i="1"/>
  <c r="AD49" i="1" s="1"/>
  <c r="AB50" i="1"/>
  <c r="AE50" i="1" s="1"/>
  <c r="AB51" i="1"/>
  <c r="AD51" i="1" s="1"/>
  <c r="AB52" i="1"/>
  <c r="AE52" i="1" s="1"/>
  <c r="AB53" i="1"/>
  <c r="AE53" i="1" s="1"/>
  <c r="AB54" i="1"/>
  <c r="AE54" i="1" s="1"/>
  <c r="AB55" i="1"/>
  <c r="AE55" i="1" s="1"/>
  <c r="AB56" i="1"/>
  <c r="AE56" i="1" s="1"/>
  <c r="AB57" i="1"/>
  <c r="AD57" i="1" s="1"/>
  <c r="AB58" i="1"/>
  <c r="AE58" i="1" s="1"/>
  <c r="AB59" i="1"/>
  <c r="AE59" i="1" s="1"/>
  <c r="AB60" i="1"/>
  <c r="AE60" i="1" s="1"/>
  <c r="AB61" i="1"/>
  <c r="AD61" i="1" s="1"/>
  <c r="AB62" i="1"/>
  <c r="AE62" i="1" s="1"/>
  <c r="AB63" i="1"/>
  <c r="AD63" i="1" s="1"/>
  <c r="AB64" i="1"/>
  <c r="AE64" i="1" s="1"/>
  <c r="AB65" i="1"/>
  <c r="AE65" i="1" s="1"/>
  <c r="AB66" i="1"/>
  <c r="AE66" i="1" s="1"/>
  <c r="AB67" i="1"/>
  <c r="AE67" i="1" s="1"/>
  <c r="AB68" i="1"/>
  <c r="AE68" i="1" s="1"/>
  <c r="AB69" i="1"/>
  <c r="AD69" i="1" s="1"/>
  <c r="AB70" i="1"/>
  <c r="AE70" i="1" s="1"/>
  <c r="AB71" i="1"/>
  <c r="AE71" i="1" s="1"/>
  <c r="AB72" i="1"/>
  <c r="AE72" i="1" s="1"/>
  <c r="AB73" i="1"/>
  <c r="AD73" i="1" s="1"/>
  <c r="AB74" i="1"/>
  <c r="AE74" i="1" s="1"/>
  <c r="AC2" i="1"/>
  <c r="AF2" i="1" s="1"/>
  <c r="AD46" i="1" l="1"/>
  <c r="AE45" i="1"/>
  <c r="AD28" i="1"/>
  <c r="AE39" i="1"/>
  <c r="AD10" i="1"/>
  <c r="AE27" i="1"/>
  <c r="AE2" i="1"/>
  <c r="AE21" i="1"/>
  <c r="AE63" i="1"/>
  <c r="AE9" i="1"/>
  <c r="AD64" i="1"/>
  <c r="AE57" i="1"/>
  <c r="AE3" i="1"/>
  <c r="AD74" i="1"/>
  <c r="AD56" i="1"/>
  <c r="AD38" i="1"/>
  <c r="AD70" i="1"/>
  <c r="AD52" i="1"/>
  <c r="AD34" i="1"/>
  <c r="AD16" i="1"/>
  <c r="AE20" i="1"/>
  <c r="AD68" i="1"/>
  <c r="AD50" i="1"/>
  <c r="AD32" i="1"/>
  <c r="AD14" i="1"/>
  <c r="AE69" i="1"/>
  <c r="AE51" i="1"/>
  <c r="AE33" i="1"/>
  <c r="AE15" i="1"/>
  <c r="AD62" i="1"/>
  <c r="AD44" i="1"/>
  <c r="AD26" i="1"/>
  <c r="AD8" i="1"/>
  <c r="AD58" i="1"/>
  <c r="AD40" i="1"/>
  <c r="AD22" i="1"/>
  <c r="AD4" i="1"/>
  <c r="AD7" i="1"/>
  <c r="AD67" i="1"/>
  <c r="AD55" i="1"/>
  <c r="AD43" i="1"/>
  <c r="AD25" i="1"/>
  <c r="AD72" i="1"/>
  <c r="AD66" i="1"/>
  <c r="AD60" i="1"/>
  <c r="AD54" i="1"/>
  <c r="AD48" i="1"/>
  <c r="AD42" i="1"/>
  <c r="AD36" i="1"/>
  <c r="AD30" i="1"/>
  <c r="AD24" i="1"/>
  <c r="AD18" i="1"/>
  <c r="AD12" i="1"/>
  <c r="AD6" i="1"/>
  <c r="AE73" i="1"/>
  <c r="AE61" i="1"/>
  <c r="AE49" i="1"/>
  <c r="AE37" i="1"/>
  <c r="AE31" i="1"/>
  <c r="AE19" i="1"/>
  <c r="AE13" i="1"/>
  <c r="AD71" i="1"/>
  <c r="AD65" i="1"/>
  <c r="AD59" i="1"/>
  <c r="AD53" i="1"/>
  <c r="AD47" i="1"/>
  <c r="AD41" i="1"/>
  <c r="AD35" i="1"/>
  <c r="AD29" i="1"/>
  <c r="AD23" i="1"/>
  <c r="AD17" i="1"/>
  <c r="AD11" i="1"/>
  <c r="AD5" i="1"/>
</calcChain>
</file>

<file path=xl/sharedStrings.xml><?xml version="1.0" encoding="utf-8"?>
<sst xmlns="http://schemas.openxmlformats.org/spreadsheetml/2006/main" count="106" uniqueCount="106">
  <si>
    <t>Index</t>
  </si>
  <si>
    <t>Id</t>
  </si>
  <si>
    <t>R1.C1.Sub</t>
  </si>
  <si>
    <t>R1.C2.Sub</t>
  </si>
  <si>
    <t>R1.C3.Sub</t>
  </si>
  <si>
    <t>R2.C1.Sub</t>
  </si>
  <si>
    <t>R2.C2.Sub</t>
  </si>
  <si>
    <t>R2.C3.Sub</t>
  </si>
  <si>
    <t>R1.Dur</t>
  </si>
  <si>
    <t>R2.Dur</t>
  </si>
  <si>
    <t>Cluster</t>
  </si>
  <si>
    <t>D0746163</t>
  </si>
  <si>
    <t>D0751292</t>
  </si>
  <si>
    <t>D0785683</t>
  </si>
  <si>
    <t>D0843601</t>
  </si>
  <si>
    <t>D1009269</t>
  </si>
  <si>
    <t>D1009299</t>
  </si>
  <si>
    <t>D1010467</t>
  </si>
  <si>
    <t>D1011175</t>
  </si>
  <si>
    <t>D1011264</t>
  </si>
  <si>
    <t>D1012323</t>
  </si>
  <si>
    <t>D1018467</t>
  </si>
  <si>
    <t>D1018508</t>
  </si>
  <si>
    <t>D1018525</t>
  </si>
  <si>
    <t>D1018572</t>
  </si>
  <si>
    <t>D1018599</t>
  </si>
  <si>
    <t>D1018600</t>
  </si>
  <si>
    <t>D1018627</t>
  </si>
  <si>
    <t>D1018631</t>
  </si>
  <si>
    <t>D1018661</t>
  </si>
  <si>
    <t>D1018703</t>
  </si>
  <si>
    <t>D1018720</t>
  </si>
  <si>
    <t>D1030965</t>
  </si>
  <si>
    <t>D1030978</t>
  </si>
  <si>
    <t>D1035899</t>
  </si>
  <si>
    <t>D1050855</t>
  </si>
  <si>
    <t>D1050869</t>
  </si>
  <si>
    <t>D1050927</t>
  </si>
  <si>
    <t>D1050957</t>
  </si>
  <si>
    <t>D1050988</t>
  </si>
  <si>
    <t>D1051015</t>
  </si>
  <si>
    <t>D1051028</t>
  </si>
  <si>
    <t>D1051058</t>
  </si>
  <si>
    <t>D1051062</t>
  </si>
  <si>
    <t>D1051089</t>
  </si>
  <si>
    <t>D1051118</t>
  </si>
  <si>
    <t>D1051121</t>
  </si>
  <si>
    <t>D1051151</t>
  </si>
  <si>
    <t>D1051210</t>
  </si>
  <si>
    <t>D1051253</t>
  </si>
  <si>
    <t>D1051267</t>
  </si>
  <si>
    <t>D1051312</t>
  </si>
  <si>
    <t>D1051428</t>
  </si>
  <si>
    <t>D1051458</t>
  </si>
  <si>
    <t>D1051489</t>
  </si>
  <si>
    <t>D1051492</t>
  </si>
  <si>
    <t>D1051517</t>
  </si>
  <si>
    <t>D1051550</t>
  </si>
  <si>
    <t>D1051564</t>
  </si>
  <si>
    <t>D1051594</t>
  </si>
  <si>
    <t>D1051619</t>
  </si>
  <si>
    <t>D1051622</t>
  </si>
  <si>
    <t>D1051652</t>
  </si>
  <si>
    <t>D1051666</t>
  </si>
  <si>
    <t>D1051683</t>
  </si>
  <si>
    <t>D1051712</t>
  </si>
  <si>
    <t>D1051769</t>
  </si>
  <si>
    <t>D1051786</t>
  </si>
  <si>
    <t>D1051799</t>
  </si>
  <si>
    <t>D1051827</t>
  </si>
  <si>
    <t>D1051861</t>
  </si>
  <si>
    <t>D1051916</t>
  </si>
  <si>
    <t>D1051929</t>
  </si>
  <si>
    <t>D1051959</t>
  </si>
  <si>
    <t>D1072770</t>
  </si>
  <si>
    <t>D1073027</t>
  </si>
  <si>
    <t>D1076758</t>
  </si>
  <si>
    <t>D1076789</t>
  </si>
  <si>
    <t>D1090420</t>
  </si>
  <si>
    <t>D1090434</t>
  </si>
  <si>
    <t>D1090494</t>
  </si>
  <si>
    <t>D1090519</t>
  </si>
  <si>
    <t>D1090522</t>
  </si>
  <si>
    <t>D1090566</t>
  </si>
  <si>
    <t>Final</t>
  </si>
  <si>
    <t>HW1</t>
  </si>
  <si>
    <t>HW2</t>
  </si>
  <si>
    <t>HW3</t>
  </si>
  <si>
    <t>HW4</t>
  </si>
  <si>
    <t>HW5</t>
  </si>
  <si>
    <t>HW6</t>
  </si>
  <si>
    <t>HW7</t>
  </si>
  <si>
    <t>R2.End</t>
  </si>
  <si>
    <t>R1.Start</t>
  </si>
  <si>
    <t>R1.End</t>
  </si>
  <si>
    <t>R2.Start</t>
  </si>
  <si>
    <t>Pre</t>
  </si>
  <si>
    <t>Mid</t>
  </si>
  <si>
    <t>MF_Ratio_R1</t>
  </si>
  <si>
    <t>MF_Ratio_R2</t>
  </si>
  <si>
    <t>Mean_HW</t>
  </si>
  <si>
    <t>Effort_R1</t>
  </si>
  <si>
    <t>Effort_R2</t>
  </si>
  <si>
    <t>Effort_Total</t>
  </si>
  <si>
    <t xml:space="preserve">R2_MF_Count </t>
  </si>
  <si>
    <t xml:space="preserve">R1_MF_Count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</si>
</sst>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4"/>
  <sheetViews>
    <sheetView tabSelected="1" zoomScale="85" zoomScaleNormal="85" workbookViewId="0">
      <selection activeCell="AA23" sqref="AA23"/>
    </sheetView>
  </sheetViews>
  <sheetFormatPr defaultColWidth="11.42578125" defaultRowHeight="15" x14ac:dyDescent="0.25"/>
  <cols>
    <col min="3" max="3" width="9.85546875" bestFit="1" customWidth="1"/>
    <col min="4" max="4" width="6.7109375" bestFit="1" customWidth="1"/>
    <col min="5" max="6" width="6" bestFit="1" customWidth="1"/>
    <col min="7" max="7" width="6.7109375" bestFit="1" customWidth="1"/>
    <col min="8" max="8" width="6" bestFit="1" customWidth="1"/>
    <col min="9" max="10" width="13.85546875" bestFit="1" customWidth="1"/>
    <col min="11" max="12" width="8.140625" bestFit="1" customWidth="1"/>
    <col min="13" max="13" width="7.140625" bestFit="1" customWidth="1"/>
    <col min="14" max="15" width="8.140625" bestFit="1" customWidth="1"/>
    <col min="16" max="16" width="7.7109375" bestFit="1" customWidth="1"/>
    <col min="17" max="26" width="6.7109375" bestFit="1" customWidth="1"/>
    <col min="27" max="30" width="11.5703125" bestFit="1" customWidth="1"/>
    <col min="31" max="32" width="12.85546875" bestFit="1" customWidth="1"/>
    <col min="33" max="33" width="11.570312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105</v>
      </c>
      <c r="J1" t="s">
        <v>104</v>
      </c>
      <c r="K1" t="s">
        <v>93</v>
      </c>
      <c r="L1" t="s">
        <v>94</v>
      </c>
      <c r="M1" t="s">
        <v>8</v>
      </c>
      <c r="N1" t="s">
        <v>95</v>
      </c>
      <c r="O1" t="s">
        <v>92</v>
      </c>
      <c r="P1" t="s">
        <v>9</v>
      </c>
      <c r="Q1" t="s">
        <v>96</v>
      </c>
      <c r="R1" t="s">
        <v>97</v>
      </c>
      <c r="S1" t="s">
        <v>84</v>
      </c>
      <c r="T1" t="s">
        <v>85</v>
      </c>
      <c r="U1" t="s">
        <v>86</v>
      </c>
      <c r="V1" t="s">
        <v>87</v>
      </c>
      <c r="W1" t="s">
        <v>88</v>
      </c>
      <c r="X1" t="s">
        <v>89</v>
      </c>
      <c r="Y1" t="s">
        <v>90</v>
      </c>
      <c r="Z1" t="s">
        <v>91</v>
      </c>
      <c r="AA1" t="s">
        <v>100</v>
      </c>
      <c r="AB1" t="s">
        <v>101</v>
      </c>
      <c r="AC1" t="s">
        <v>102</v>
      </c>
      <c r="AD1" t="s">
        <v>103</v>
      </c>
      <c r="AE1" t="s">
        <v>98</v>
      </c>
      <c r="AF1" t="s">
        <v>99</v>
      </c>
      <c r="AG1" t="s">
        <v>10</v>
      </c>
    </row>
    <row r="2" spans="1:33" x14ac:dyDescent="0.25">
      <c r="A2">
        <v>4</v>
      </c>
      <c r="B2" t="s">
        <v>14</v>
      </c>
      <c r="C2" s="1">
        <v>46</v>
      </c>
      <c r="D2" s="1">
        <v>184</v>
      </c>
      <c r="E2" s="1">
        <v>46</v>
      </c>
      <c r="F2" s="1">
        <v>37</v>
      </c>
      <c r="G2" s="1">
        <v>148</v>
      </c>
      <c r="H2" s="1">
        <v>37</v>
      </c>
      <c r="I2" s="1">
        <v>10</v>
      </c>
      <c r="J2" s="1">
        <v>5</v>
      </c>
      <c r="K2" s="1">
        <v>1141.4000000000001</v>
      </c>
      <c r="L2" s="1">
        <v>1185.4000000000001</v>
      </c>
      <c r="M2" s="1">
        <v>44</v>
      </c>
      <c r="N2" s="1">
        <v>1261.27</v>
      </c>
      <c r="O2" s="1">
        <v>1264.67</v>
      </c>
      <c r="P2" s="1">
        <v>3.4000000000000901</v>
      </c>
      <c r="Q2" s="1">
        <v>95</v>
      </c>
      <c r="R2" s="1">
        <v>47</v>
      </c>
      <c r="S2" s="1">
        <v>52</v>
      </c>
      <c r="T2" s="1">
        <v>85</v>
      </c>
      <c r="U2" s="1">
        <v>85</v>
      </c>
      <c r="V2" s="1">
        <v>99</v>
      </c>
      <c r="W2" s="1">
        <v>80</v>
      </c>
      <c r="X2" s="1">
        <v>97</v>
      </c>
      <c r="Y2" s="1">
        <v>82</v>
      </c>
      <c r="Z2" s="1">
        <v>84</v>
      </c>
      <c r="AA2" s="1">
        <v>87.428571428571431</v>
      </c>
      <c r="AB2" s="1">
        <f xml:space="preserve"> SUM(C2:E2)</f>
        <v>276</v>
      </c>
      <c r="AC2" s="1">
        <f>SUM(F2:H2)</f>
        <v>222</v>
      </c>
      <c r="AD2" s="1">
        <f>SUM(AB2:AC2)</f>
        <v>498</v>
      </c>
      <c r="AE2" s="1">
        <f>I2/MAX(1,AB2)</f>
        <v>3.6231884057971016E-2</v>
      </c>
      <c r="AF2" s="1">
        <f>J2/MAX(1,AC2)</f>
        <v>2.2522522522522521E-2</v>
      </c>
      <c r="AG2" s="1">
        <v>1</v>
      </c>
    </row>
    <row r="3" spans="1:33" x14ac:dyDescent="0.25">
      <c r="A3">
        <v>7</v>
      </c>
      <c r="B3" t="s">
        <v>17</v>
      </c>
      <c r="C3" s="1">
        <v>43</v>
      </c>
      <c r="D3" s="1">
        <v>172</v>
      </c>
      <c r="E3" s="1">
        <v>43</v>
      </c>
      <c r="F3" s="1">
        <v>14</v>
      </c>
      <c r="G3" s="1">
        <v>56</v>
      </c>
      <c r="H3" s="1">
        <v>14</v>
      </c>
      <c r="I3" s="1">
        <v>1</v>
      </c>
      <c r="J3" s="1">
        <v>1</v>
      </c>
      <c r="K3" s="1">
        <v>1932.6</v>
      </c>
      <c r="L3" s="1">
        <v>1934</v>
      </c>
      <c r="M3" s="1">
        <v>1.2</v>
      </c>
      <c r="N3" s="1">
        <v>966.8</v>
      </c>
      <c r="O3" s="1">
        <v>969</v>
      </c>
      <c r="P3" s="1">
        <v>2.2000000000000499</v>
      </c>
      <c r="Q3" s="1">
        <v>85</v>
      </c>
      <c r="R3" s="1">
        <v>100</v>
      </c>
      <c r="S3" s="1">
        <v>98</v>
      </c>
      <c r="T3" s="1">
        <v>48</v>
      </c>
      <c r="U3" s="1">
        <v>48</v>
      </c>
      <c r="V3" s="1">
        <v>99</v>
      </c>
      <c r="W3" s="1">
        <v>83</v>
      </c>
      <c r="X3" s="1">
        <v>79</v>
      </c>
      <c r="Y3" s="1">
        <v>82</v>
      </c>
      <c r="Z3" s="1">
        <v>79</v>
      </c>
      <c r="AA3" s="1">
        <v>74</v>
      </c>
      <c r="AB3" s="1">
        <f xml:space="preserve"> SUM(C3:E3)</f>
        <v>258</v>
      </c>
      <c r="AC3" s="1">
        <f>SUM(F3:H3)</f>
        <v>84</v>
      </c>
      <c r="AD3" s="1">
        <f t="shared" ref="AD3:AD66" si="0">SUM(AB3:AC3)</f>
        <v>342</v>
      </c>
      <c r="AE3" s="1">
        <f>I3/MAX(1,AB3)</f>
        <v>3.875968992248062E-3</v>
      </c>
      <c r="AF3" s="1">
        <f>J3/MAX(1,AC3)</f>
        <v>1.1904761904761904E-2</v>
      </c>
      <c r="AG3" s="1">
        <v>1</v>
      </c>
    </row>
    <row r="4" spans="1:33" x14ac:dyDescent="0.25">
      <c r="A4">
        <v>9</v>
      </c>
      <c r="B4" t="s">
        <v>19</v>
      </c>
      <c r="C4" s="1">
        <v>45</v>
      </c>
      <c r="D4" s="1">
        <v>180</v>
      </c>
      <c r="E4" s="1">
        <v>45</v>
      </c>
      <c r="F4" s="1">
        <v>45</v>
      </c>
      <c r="G4" s="1">
        <v>180</v>
      </c>
      <c r="H4" s="1">
        <v>45</v>
      </c>
      <c r="I4" s="1">
        <v>20</v>
      </c>
      <c r="J4" s="1">
        <v>21</v>
      </c>
      <c r="K4" s="1">
        <v>1122</v>
      </c>
      <c r="L4" s="1">
        <v>1150.5999999999999</v>
      </c>
      <c r="M4" s="1">
        <v>28.6</v>
      </c>
      <c r="N4" s="1">
        <v>2177.5300000000002</v>
      </c>
      <c r="O4" s="1">
        <v>2182.73</v>
      </c>
      <c r="P4" s="1">
        <v>5.1999999999998199</v>
      </c>
      <c r="Q4" s="1">
        <v>100</v>
      </c>
      <c r="R4" s="1">
        <v>66</v>
      </c>
      <c r="S4" s="1">
        <v>74</v>
      </c>
      <c r="T4" s="1">
        <v>100</v>
      </c>
      <c r="U4" s="1">
        <v>100</v>
      </c>
      <c r="V4" s="1">
        <v>100</v>
      </c>
      <c r="W4" s="1">
        <v>92</v>
      </c>
      <c r="X4" s="1">
        <v>97</v>
      </c>
      <c r="Y4" s="1">
        <v>100</v>
      </c>
      <c r="Z4" s="1">
        <v>100</v>
      </c>
      <c r="AA4" s="1">
        <v>98.428571428571431</v>
      </c>
      <c r="AB4" s="1">
        <f xml:space="preserve"> SUM(C4:E4)</f>
        <v>270</v>
      </c>
      <c r="AC4" s="1">
        <f>SUM(F4:H4)</f>
        <v>270</v>
      </c>
      <c r="AD4" s="1">
        <f t="shared" si="0"/>
        <v>540</v>
      </c>
      <c r="AE4" s="1">
        <f>I4/MAX(1,AB4)</f>
        <v>7.407407407407407E-2</v>
      </c>
      <c r="AF4" s="1">
        <f>J4/MAX(1,AC4)</f>
        <v>7.7777777777777779E-2</v>
      </c>
      <c r="AG4" s="1">
        <v>1</v>
      </c>
    </row>
    <row r="5" spans="1:33" x14ac:dyDescent="0.25">
      <c r="A5">
        <v>10</v>
      </c>
      <c r="B5" t="s">
        <v>20</v>
      </c>
      <c r="C5" s="1">
        <v>47</v>
      </c>
      <c r="D5" s="1">
        <v>188</v>
      </c>
      <c r="E5" s="1">
        <v>47</v>
      </c>
      <c r="F5" s="1">
        <v>14</v>
      </c>
      <c r="G5" s="1">
        <v>56</v>
      </c>
      <c r="H5" s="1">
        <v>14</v>
      </c>
      <c r="I5" s="1">
        <v>0</v>
      </c>
      <c r="J5" s="1">
        <v>2</v>
      </c>
      <c r="K5" s="1">
        <v>2608</v>
      </c>
      <c r="L5" s="1">
        <v>2613.1999999999998</v>
      </c>
      <c r="M5" s="1">
        <v>5.2</v>
      </c>
      <c r="N5" s="1">
        <v>1692.8</v>
      </c>
      <c r="O5" s="1">
        <v>1701.2</v>
      </c>
      <c r="P5" s="1">
        <v>8.4000000000000892</v>
      </c>
      <c r="Q5" s="1">
        <v>90</v>
      </c>
      <c r="R5" s="1">
        <v>37</v>
      </c>
      <c r="S5" s="1">
        <v>27</v>
      </c>
      <c r="T5" s="1">
        <v>43</v>
      </c>
      <c r="U5" s="1">
        <v>43</v>
      </c>
      <c r="V5" s="1">
        <v>57</v>
      </c>
      <c r="W5" s="1">
        <v>82</v>
      </c>
      <c r="X5" s="1">
        <v>95</v>
      </c>
      <c r="Y5" s="1">
        <v>48</v>
      </c>
      <c r="Z5" s="1">
        <v>47</v>
      </c>
      <c r="AA5" s="1">
        <v>59.285714285714285</v>
      </c>
      <c r="AB5" s="1">
        <f xml:space="preserve"> SUM(C5:E5)</f>
        <v>282</v>
      </c>
      <c r="AC5" s="1">
        <f>SUM(F5:H5)</f>
        <v>84</v>
      </c>
      <c r="AD5" s="1">
        <f t="shared" si="0"/>
        <v>366</v>
      </c>
      <c r="AE5" s="1">
        <f>I5/MAX(1,AB5)</f>
        <v>0</v>
      </c>
      <c r="AF5" s="1">
        <f>J5/MAX(1,AC5)</f>
        <v>2.3809523809523808E-2</v>
      </c>
      <c r="AG5" s="1">
        <v>1</v>
      </c>
    </row>
    <row r="6" spans="1:33" x14ac:dyDescent="0.25">
      <c r="A6">
        <v>12</v>
      </c>
      <c r="B6" t="s">
        <v>22</v>
      </c>
      <c r="C6" s="1">
        <v>45</v>
      </c>
      <c r="D6" s="1">
        <v>180</v>
      </c>
      <c r="E6" s="1">
        <v>45</v>
      </c>
      <c r="F6" s="1">
        <v>45</v>
      </c>
      <c r="G6" s="1">
        <v>180</v>
      </c>
      <c r="H6" s="1">
        <v>45</v>
      </c>
      <c r="I6" s="1">
        <v>25</v>
      </c>
      <c r="J6" s="1">
        <v>13</v>
      </c>
      <c r="K6" s="1">
        <v>1188.2</v>
      </c>
      <c r="L6" s="1">
        <v>1672.6</v>
      </c>
      <c r="M6" s="1">
        <v>484.4</v>
      </c>
      <c r="N6" s="1">
        <v>1384.27</v>
      </c>
      <c r="O6" s="1">
        <v>1387.07</v>
      </c>
      <c r="P6" s="1">
        <v>2.7999999999999501</v>
      </c>
      <c r="Q6" s="1">
        <v>100</v>
      </c>
      <c r="R6" s="1">
        <v>93</v>
      </c>
      <c r="S6" s="1">
        <v>94</v>
      </c>
      <c r="T6" s="1">
        <v>85</v>
      </c>
      <c r="U6" s="1">
        <v>85</v>
      </c>
      <c r="V6" s="1">
        <v>94</v>
      </c>
      <c r="W6" s="1">
        <v>99</v>
      </c>
      <c r="X6" s="1">
        <v>99</v>
      </c>
      <c r="Y6" s="1">
        <v>83</v>
      </c>
      <c r="Z6" s="1">
        <v>96</v>
      </c>
      <c r="AA6" s="1">
        <v>91.571428571428569</v>
      </c>
      <c r="AB6" s="1">
        <f xml:space="preserve"> SUM(C6:E6)</f>
        <v>270</v>
      </c>
      <c r="AC6" s="1">
        <f>SUM(F6:H6)</f>
        <v>270</v>
      </c>
      <c r="AD6" s="1">
        <f t="shared" si="0"/>
        <v>540</v>
      </c>
      <c r="AE6" s="1">
        <f>I6/MAX(1,AB6)</f>
        <v>9.2592592592592587E-2</v>
      </c>
      <c r="AF6" s="1">
        <f>J6/MAX(1,AC6)</f>
        <v>4.8148148148148148E-2</v>
      </c>
      <c r="AG6" s="1">
        <v>1</v>
      </c>
    </row>
    <row r="7" spans="1:33" x14ac:dyDescent="0.25">
      <c r="A7">
        <v>15</v>
      </c>
      <c r="B7" t="s">
        <v>25</v>
      </c>
      <c r="C7" s="1">
        <v>54</v>
      </c>
      <c r="D7" s="1">
        <v>216</v>
      </c>
      <c r="E7" s="1">
        <v>54</v>
      </c>
      <c r="F7" s="1">
        <v>34</v>
      </c>
      <c r="G7" s="1">
        <v>136</v>
      </c>
      <c r="H7" s="1">
        <v>34</v>
      </c>
      <c r="I7" s="1">
        <v>19</v>
      </c>
      <c r="J7" s="1">
        <v>14</v>
      </c>
      <c r="K7" s="1">
        <v>1203</v>
      </c>
      <c r="L7" s="1">
        <v>1208</v>
      </c>
      <c r="M7" s="1">
        <v>5</v>
      </c>
      <c r="N7" s="1">
        <v>1.6</v>
      </c>
      <c r="O7" s="1">
        <v>3</v>
      </c>
      <c r="P7" s="1">
        <v>1.4</v>
      </c>
      <c r="Q7" s="1">
        <v>90</v>
      </c>
      <c r="R7" s="1">
        <v>68</v>
      </c>
      <c r="S7" s="1">
        <v>56</v>
      </c>
      <c r="T7" s="1">
        <v>48</v>
      </c>
      <c r="U7" s="1">
        <v>48</v>
      </c>
      <c r="V7" s="1">
        <v>96</v>
      </c>
      <c r="W7" s="1">
        <v>83</v>
      </c>
      <c r="X7" s="1">
        <v>74</v>
      </c>
      <c r="Y7" s="1">
        <v>63</v>
      </c>
      <c r="Z7" s="1">
        <v>82</v>
      </c>
      <c r="AA7" s="1">
        <v>70.571428571428569</v>
      </c>
      <c r="AB7" s="1">
        <f xml:space="preserve"> SUM(C7:E7)</f>
        <v>324</v>
      </c>
      <c r="AC7" s="1">
        <f>SUM(F7:H7)</f>
        <v>204</v>
      </c>
      <c r="AD7" s="1">
        <f t="shared" si="0"/>
        <v>528</v>
      </c>
      <c r="AE7" s="1">
        <f>I7/MAX(1,AB7)</f>
        <v>5.8641975308641972E-2</v>
      </c>
      <c r="AF7" s="1">
        <f>J7/MAX(1,AC7)</f>
        <v>6.8627450980392163E-2</v>
      </c>
      <c r="AG7" s="1">
        <v>1</v>
      </c>
    </row>
    <row r="8" spans="1:33" x14ac:dyDescent="0.25">
      <c r="A8">
        <v>16</v>
      </c>
      <c r="B8" t="s">
        <v>26</v>
      </c>
      <c r="C8" s="1">
        <v>56</v>
      </c>
      <c r="D8" s="1">
        <v>224</v>
      </c>
      <c r="E8" s="1">
        <v>56</v>
      </c>
      <c r="F8" s="1">
        <v>56</v>
      </c>
      <c r="G8" s="1">
        <v>224</v>
      </c>
      <c r="H8" s="1">
        <v>56</v>
      </c>
      <c r="I8" s="1">
        <v>13</v>
      </c>
      <c r="J8" s="1">
        <v>4</v>
      </c>
      <c r="K8" s="1">
        <v>807.4</v>
      </c>
      <c r="L8" s="1">
        <v>904.8</v>
      </c>
      <c r="M8" s="1">
        <v>97.2</v>
      </c>
      <c r="N8" s="1">
        <v>2279.1999999999998</v>
      </c>
      <c r="O8" s="1">
        <v>2285.4</v>
      </c>
      <c r="P8" s="1">
        <v>6.2000000000002702</v>
      </c>
      <c r="Q8" s="1">
        <v>100</v>
      </c>
      <c r="R8" s="1">
        <v>86</v>
      </c>
      <c r="S8" s="1">
        <v>87</v>
      </c>
      <c r="T8" s="1">
        <v>85</v>
      </c>
      <c r="U8" s="1">
        <v>85</v>
      </c>
      <c r="V8" s="1">
        <v>100</v>
      </c>
      <c r="W8" s="1">
        <v>100</v>
      </c>
      <c r="X8" s="1">
        <v>99</v>
      </c>
      <c r="Y8" s="1">
        <v>98</v>
      </c>
      <c r="Z8" s="1">
        <v>99</v>
      </c>
      <c r="AA8" s="1">
        <v>95.142857142857139</v>
      </c>
      <c r="AB8" s="1">
        <f xml:space="preserve"> SUM(C8:E8)</f>
        <v>336</v>
      </c>
      <c r="AC8" s="1">
        <f>SUM(F8:H8)</f>
        <v>336</v>
      </c>
      <c r="AD8" s="1">
        <f t="shared" si="0"/>
        <v>672</v>
      </c>
      <c r="AE8" s="1">
        <f>I8/MAX(1,AB8)</f>
        <v>3.8690476190476192E-2</v>
      </c>
      <c r="AF8" s="1">
        <f>J8/MAX(1,AC8)</f>
        <v>1.1904761904761904E-2</v>
      </c>
      <c r="AG8" s="1">
        <v>1</v>
      </c>
    </row>
    <row r="9" spans="1:33" x14ac:dyDescent="0.25">
      <c r="A9">
        <v>17</v>
      </c>
      <c r="B9" t="s">
        <v>27</v>
      </c>
      <c r="C9" s="1">
        <v>46</v>
      </c>
      <c r="D9" s="1">
        <v>184</v>
      </c>
      <c r="E9" s="1">
        <v>46</v>
      </c>
      <c r="F9" s="1">
        <v>55</v>
      </c>
      <c r="G9" s="1">
        <v>220</v>
      </c>
      <c r="H9" s="1">
        <v>55</v>
      </c>
      <c r="I9" s="1">
        <v>31</v>
      </c>
      <c r="J9" s="1">
        <v>24</v>
      </c>
      <c r="K9" s="1">
        <v>690.4</v>
      </c>
      <c r="L9" s="1">
        <v>718</v>
      </c>
      <c r="M9" s="1">
        <v>27.6</v>
      </c>
      <c r="N9" s="1">
        <v>2232.1999999999998</v>
      </c>
      <c r="O9" s="1">
        <v>2240.1999999999998</v>
      </c>
      <c r="P9" s="1">
        <v>8</v>
      </c>
      <c r="Q9" s="1">
        <v>100</v>
      </c>
      <c r="R9" s="1">
        <v>72</v>
      </c>
      <c r="S9" s="1">
        <v>64</v>
      </c>
      <c r="T9" s="1">
        <v>100</v>
      </c>
      <c r="U9" s="1">
        <v>100</v>
      </c>
      <c r="V9" s="1">
        <v>98</v>
      </c>
      <c r="W9" s="1">
        <v>70</v>
      </c>
      <c r="X9" s="1">
        <v>98</v>
      </c>
      <c r="Y9" s="1">
        <v>53</v>
      </c>
      <c r="Z9" s="1">
        <v>91</v>
      </c>
      <c r="AA9" s="1">
        <v>87.142857142857139</v>
      </c>
      <c r="AB9" s="1">
        <f xml:space="preserve"> SUM(C9:E9)</f>
        <v>276</v>
      </c>
      <c r="AC9" s="1">
        <f>SUM(F9:H9)</f>
        <v>330</v>
      </c>
      <c r="AD9" s="1">
        <f t="shared" si="0"/>
        <v>606</v>
      </c>
      <c r="AE9" s="1">
        <f>I9/MAX(1,AB9)</f>
        <v>0.11231884057971014</v>
      </c>
      <c r="AF9" s="1">
        <f>J9/MAX(1,AC9)</f>
        <v>7.2727272727272724E-2</v>
      </c>
      <c r="AG9" s="1">
        <v>1</v>
      </c>
    </row>
    <row r="10" spans="1:33" x14ac:dyDescent="0.25">
      <c r="A10">
        <v>18</v>
      </c>
      <c r="B10" t="s">
        <v>28</v>
      </c>
      <c r="C10" s="1">
        <v>54</v>
      </c>
      <c r="D10" s="1">
        <v>216</v>
      </c>
      <c r="E10" s="1">
        <v>54</v>
      </c>
      <c r="F10" s="1">
        <v>52</v>
      </c>
      <c r="G10" s="1">
        <v>208</v>
      </c>
      <c r="H10" s="1">
        <v>52</v>
      </c>
      <c r="I10" s="1">
        <v>25</v>
      </c>
      <c r="J10" s="1">
        <v>14</v>
      </c>
      <c r="K10" s="1">
        <v>1032.8</v>
      </c>
      <c r="L10" s="1">
        <v>1039.2</v>
      </c>
      <c r="M10" s="1">
        <v>6.4</v>
      </c>
      <c r="N10" s="1">
        <v>1625.6</v>
      </c>
      <c r="O10" s="1">
        <v>1630</v>
      </c>
      <c r="P10" s="1">
        <v>4.4000000000000901</v>
      </c>
      <c r="Q10" s="1">
        <v>95</v>
      </c>
      <c r="R10" s="1">
        <v>53</v>
      </c>
      <c r="S10" s="1">
        <v>70</v>
      </c>
      <c r="T10" s="1">
        <v>85</v>
      </c>
      <c r="U10" s="1">
        <v>85</v>
      </c>
      <c r="V10" s="1">
        <v>69</v>
      </c>
      <c r="W10" s="1">
        <v>100</v>
      </c>
      <c r="X10" s="1">
        <v>89</v>
      </c>
      <c r="Y10" s="1">
        <v>67</v>
      </c>
      <c r="Z10" s="1">
        <v>99</v>
      </c>
      <c r="AA10" s="1">
        <v>84.857142857142861</v>
      </c>
      <c r="AB10" s="1">
        <f xml:space="preserve"> SUM(C10:E10)</f>
        <v>324</v>
      </c>
      <c r="AC10" s="1">
        <f>SUM(F10:H10)</f>
        <v>312</v>
      </c>
      <c r="AD10" s="1">
        <f t="shared" si="0"/>
        <v>636</v>
      </c>
      <c r="AE10" s="1">
        <f>I10/MAX(1,AB10)</f>
        <v>7.716049382716049E-2</v>
      </c>
      <c r="AF10" s="1">
        <f>J10/MAX(1,AC10)</f>
        <v>4.4871794871794872E-2</v>
      </c>
      <c r="AG10" s="1">
        <v>1</v>
      </c>
    </row>
    <row r="11" spans="1:33" x14ac:dyDescent="0.25">
      <c r="A11">
        <v>19</v>
      </c>
      <c r="B11" t="s">
        <v>29</v>
      </c>
      <c r="C11" s="1">
        <v>47</v>
      </c>
      <c r="D11" s="1">
        <v>151</v>
      </c>
      <c r="E11" s="1">
        <v>35</v>
      </c>
      <c r="F11" s="1">
        <v>41</v>
      </c>
      <c r="G11" s="1">
        <v>164</v>
      </c>
      <c r="H11" s="1">
        <v>41</v>
      </c>
      <c r="I11" s="1">
        <v>17</v>
      </c>
      <c r="J11" s="1">
        <v>10</v>
      </c>
      <c r="K11" s="1">
        <v>1207.27</v>
      </c>
      <c r="L11" s="1">
        <v>1235.07</v>
      </c>
      <c r="M11" s="1">
        <v>27.67</v>
      </c>
      <c r="N11" s="1">
        <v>1479.8</v>
      </c>
      <c r="O11" s="1">
        <v>1484.6</v>
      </c>
      <c r="P11" s="1">
        <v>4.7999999999999501</v>
      </c>
      <c r="Q11" s="1">
        <v>100</v>
      </c>
      <c r="R11" s="1">
        <v>81</v>
      </c>
      <c r="S11" s="1">
        <v>86</v>
      </c>
      <c r="T11" s="1">
        <v>78</v>
      </c>
      <c r="U11" s="1">
        <v>78</v>
      </c>
      <c r="V11" s="1">
        <v>100</v>
      </c>
      <c r="W11" s="1">
        <v>100</v>
      </c>
      <c r="X11" s="1">
        <v>98</v>
      </c>
      <c r="Y11" s="1">
        <v>100</v>
      </c>
      <c r="Z11" s="1">
        <v>100</v>
      </c>
      <c r="AA11" s="1">
        <v>93.428571428571431</v>
      </c>
      <c r="AB11" s="1">
        <f xml:space="preserve"> SUM(C11:E11)</f>
        <v>233</v>
      </c>
      <c r="AC11" s="1">
        <f>SUM(F11:H11)</f>
        <v>246</v>
      </c>
      <c r="AD11" s="1">
        <f t="shared" si="0"/>
        <v>479</v>
      </c>
      <c r="AE11" s="1">
        <f>I11/MAX(1,AB11)</f>
        <v>7.2961373390557943E-2</v>
      </c>
      <c r="AF11" s="1">
        <f>J11/MAX(1,AC11)</f>
        <v>4.065040650406504E-2</v>
      </c>
      <c r="AG11" s="1">
        <v>1</v>
      </c>
    </row>
    <row r="12" spans="1:33" x14ac:dyDescent="0.25">
      <c r="A12">
        <v>20</v>
      </c>
      <c r="B12" t="s">
        <v>30</v>
      </c>
      <c r="C12" s="1">
        <v>48</v>
      </c>
      <c r="D12" s="1">
        <v>192</v>
      </c>
      <c r="E12" s="1">
        <v>48</v>
      </c>
      <c r="F12" s="1">
        <v>43</v>
      </c>
      <c r="G12" s="1">
        <v>166</v>
      </c>
      <c r="H12" s="1">
        <v>43</v>
      </c>
      <c r="I12" s="1">
        <v>16</v>
      </c>
      <c r="J12" s="1">
        <v>8</v>
      </c>
      <c r="K12" s="1">
        <v>1117.2</v>
      </c>
      <c r="L12" s="1">
        <v>1126</v>
      </c>
      <c r="M12" s="1">
        <v>8.8000000000000007</v>
      </c>
      <c r="N12" s="1">
        <v>2345.8000000000002</v>
      </c>
      <c r="O12" s="1">
        <v>2359</v>
      </c>
      <c r="P12" s="1">
        <v>13.1999999999998</v>
      </c>
      <c r="Q12" s="1">
        <v>100</v>
      </c>
      <c r="R12" s="1">
        <v>58</v>
      </c>
      <c r="S12" s="1">
        <v>73</v>
      </c>
      <c r="T12" s="1">
        <v>100</v>
      </c>
      <c r="U12" s="1">
        <v>100</v>
      </c>
      <c r="V12" s="1">
        <v>98</v>
      </c>
      <c r="W12" s="1">
        <v>99</v>
      </c>
      <c r="X12" s="1">
        <v>97</v>
      </c>
      <c r="Y12" s="1">
        <v>98</v>
      </c>
      <c r="Z12" s="1">
        <v>99</v>
      </c>
      <c r="AA12" s="1">
        <v>98.714285714285708</v>
      </c>
      <c r="AB12" s="1">
        <f xml:space="preserve"> SUM(C12:E12)</f>
        <v>288</v>
      </c>
      <c r="AC12" s="1">
        <f>SUM(F12:H12)</f>
        <v>252</v>
      </c>
      <c r="AD12" s="1">
        <f t="shared" si="0"/>
        <v>540</v>
      </c>
      <c r="AE12" s="1">
        <f>I12/MAX(1,AB12)</f>
        <v>5.5555555555555552E-2</v>
      </c>
      <c r="AF12" s="1">
        <f>J12/MAX(1,AC12)</f>
        <v>3.1746031746031744E-2</v>
      </c>
      <c r="AG12" s="1">
        <v>1</v>
      </c>
    </row>
    <row r="13" spans="1:33" x14ac:dyDescent="0.25">
      <c r="A13">
        <v>21</v>
      </c>
      <c r="B13" t="s">
        <v>31</v>
      </c>
      <c r="C13" s="1">
        <v>42</v>
      </c>
      <c r="D13" s="1">
        <v>165</v>
      </c>
      <c r="E13" s="1">
        <v>42</v>
      </c>
      <c r="F13" s="1">
        <v>42</v>
      </c>
      <c r="G13" s="1">
        <v>168</v>
      </c>
      <c r="H13" s="1">
        <v>42</v>
      </c>
      <c r="I13" s="1">
        <v>25</v>
      </c>
      <c r="J13" s="1">
        <v>14</v>
      </c>
      <c r="K13" s="1">
        <v>605.6</v>
      </c>
      <c r="L13" s="1">
        <v>614.4</v>
      </c>
      <c r="M13" s="1">
        <v>8.8000000000000007</v>
      </c>
      <c r="N13" s="1">
        <v>1621.6</v>
      </c>
      <c r="O13" s="1">
        <v>1625.6</v>
      </c>
      <c r="P13" s="1">
        <v>4</v>
      </c>
      <c r="Q13" s="1">
        <v>100</v>
      </c>
      <c r="R13" s="1">
        <v>76</v>
      </c>
      <c r="S13" s="1">
        <v>76</v>
      </c>
      <c r="T13" s="1">
        <v>85</v>
      </c>
      <c r="U13" s="1">
        <v>85</v>
      </c>
      <c r="V13" s="1">
        <v>99</v>
      </c>
      <c r="W13" s="1">
        <v>95</v>
      </c>
      <c r="X13" s="1">
        <v>94</v>
      </c>
      <c r="Y13" s="1">
        <v>99</v>
      </c>
      <c r="Z13" s="1">
        <v>100</v>
      </c>
      <c r="AA13" s="1">
        <v>93.857142857142861</v>
      </c>
      <c r="AB13" s="1">
        <f xml:space="preserve"> SUM(C13:E13)</f>
        <v>249</v>
      </c>
      <c r="AC13" s="1">
        <f>SUM(F13:H13)</f>
        <v>252</v>
      </c>
      <c r="AD13" s="1">
        <f t="shared" si="0"/>
        <v>501</v>
      </c>
      <c r="AE13" s="1">
        <f>I13/MAX(1,AB13)</f>
        <v>0.10040160642570281</v>
      </c>
      <c r="AF13" s="1">
        <f>J13/MAX(1,AC13)</f>
        <v>5.5555555555555552E-2</v>
      </c>
      <c r="AG13" s="1">
        <v>1</v>
      </c>
    </row>
    <row r="14" spans="1:33" x14ac:dyDescent="0.25">
      <c r="A14">
        <v>24</v>
      </c>
      <c r="B14" t="s">
        <v>34</v>
      </c>
      <c r="C14" s="1">
        <v>35</v>
      </c>
      <c r="D14" s="1">
        <v>137</v>
      </c>
      <c r="E14" s="1">
        <v>35</v>
      </c>
      <c r="F14" s="1">
        <v>23</v>
      </c>
      <c r="G14" s="1">
        <v>92</v>
      </c>
      <c r="H14" s="1">
        <v>23</v>
      </c>
      <c r="I14" s="1">
        <v>15</v>
      </c>
      <c r="J14" s="1">
        <v>14</v>
      </c>
      <c r="K14" s="1">
        <v>716.6</v>
      </c>
      <c r="L14" s="1">
        <v>725.8</v>
      </c>
      <c r="M14" s="1">
        <v>9.1999999999999993</v>
      </c>
      <c r="N14" s="1">
        <v>1147.8</v>
      </c>
      <c r="O14" s="1">
        <v>1151.5999999999999</v>
      </c>
      <c r="P14" s="1">
        <v>3.7999999999999501</v>
      </c>
      <c r="Q14" s="1">
        <v>100</v>
      </c>
      <c r="R14" s="1">
        <v>51</v>
      </c>
      <c r="S14" s="1">
        <v>64</v>
      </c>
      <c r="T14" s="1">
        <v>90</v>
      </c>
      <c r="U14" s="1">
        <v>90</v>
      </c>
      <c r="V14" s="1">
        <v>95</v>
      </c>
      <c r="W14" s="1">
        <v>82</v>
      </c>
      <c r="X14" s="1">
        <v>75</v>
      </c>
      <c r="Y14" s="1">
        <v>82</v>
      </c>
      <c r="Z14" s="1">
        <v>98</v>
      </c>
      <c r="AA14" s="1">
        <v>87.428571428571431</v>
      </c>
      <c r="AB14" s="1">
        <f xml:space="preserve"> SUM(C14:E14)</f>
        <v>207</v>
      </c>
      <c r="AC14" s="1">
        <f>SUM(F14:H14)</f>
        <v>138</v>
      </c>
      <c r="AD14" s="1">
        <f t="shared" si="0"/>
        <v>345</v>
      </c>
      <c r="AE14" s="1">
        <f>I14/MAX(1,AB14)</f>
        <v>7.2463768115942032E-2</v>
      </c>
      <c r="AF14" s="1">
        <f>J14/MAX(1,AC14)</f>
        <v>0.10144927536231885</v>
      </c>
      <c r="AG14" s="1">
        <v>1</v>
      </c>
    </row>
    <row r="15" spans="1:33" x14ac:dyDescent="0.25">
      <c r="A15">
        <v>28</v>
      </c>
      <c r="B15" t="s">
        <v>38</v>
      </c>
      <c r="C15" s="1">
        <v>48</v>
      </c>
      <c r="D15" s="1">
        <v>156</v>
      </c>
      <c r="E15" s="1">
        <v>45</v>
      </c>
      <c r="F15" s="1">
        <v>37</v>
      </c>
      <c r="G15" s="1">
        <v>136</v>
      </c>
      <c r="H15" s="1">
        <v>37</v>
      </c>
      <c r="I15" s="1">
        <v>24</v>
      </c>
      <c r="J15" s="1">
        <v>15</v>
      </c>
      <c r="K15" s="1">
        <v>276.33</v>
      </c>
      <c r="L15" s="1">
        <v>378.2</v>
      </c>
      <c r="M15" s="1">
        <v>101.47</v>
      </c>
      <c r="N15" s="1">
        <v>93.67</v>
      </c>
      <c r="O15" s="1">
        <v>93.87</v>
      </c>
      <c r="P15" s="1">
        <v>0.20000000000000301</v>
      </c>
      <c r="Q15" s="1">
        <v>100</v>
      </c>
      <c r="R15" s="1">
        <v>96</v>
      </c>
      <c r="S15" s="1">
        <v>94</v>
      </c>
      <c r="T15" s="1">
        <v>85</v>
      </c>
      <c r="U15" s="1">
        <v>85</v>
      </c>
      <c r="V15" s="1">
        <v>98</v>
      </c>
      <c r="W15" s="1">
        <v>100</v>
      </c>
      <c r="X15" s="1">
        <v>100</v>
      </c>
      <c r="Y15" s="1">
        <v>100</v>
      </c>
      <c r="Z15" s="1">
        <v>100</v>
      </c>
      <c r="AA15" s="1">
        <v>95.428571428571431</v>
      </c>
      <c r="AB15" s="1">
        <f xml:space="preserve"> SUM(C15:E15)</f>
        <v>249</v>
      </c>
      <c r="AC15" s="1">
        <f>SUM(F15:H15)</f>
        <v>210</v>
      </c>
      <c r="AD15" s="1">
        <f t="shared" si="0"/>
        <v>459</v>
      </c>
      <c r="AE15" s="1">
        <f>I15/MAX(1,AB15)</f>
        <v>9.6385542168674704E-2</v>
      </c>
      <c r="AF15" s="1">
        <f>J15/MAX(1,AC15)</f>
        <v>7.1428571428571425E-2</v>
      </c>
      <c r="AG15" s="1">
        <v>1</v>
      </c>
    </row>
    <row r="16" spans="1:33" x14ac:dyDescent="0.25">
      <c r="A16">
        <v>29</v>
      </c>
      <c r="B16" t="s">
        <v>39</v>
      </c>
      <c r="C16" s="1">
        <v>46</v>
      </c>
      <c r="D16" s="1">
        <v>184</v>
      </c>
      <c r="E16" s="1">
        <v>46</v>
      </c>
      <c r="F16" s="1">
        <v>46</v>
      </c>
      <c r="G16" s="1">
        <v>184</v>
      </c>
      <c r="H16" s="1">
        <v>46</v>
      </c>
      <c r="I16" s="1">
        <v>31</v>
      </c>
      <c r="J16" s="1">
        <v>28</v>
      </c>
      <c r="K16" s="1">
        <v>1241.2</v>
      </c>
      <c r="L16" s="1">
        <v>1666.8</v>
      </c>
      <c r="M16" s="1">
        <v>425.6</v>
      </c>
      <c r="N16" s="1">
        <v>1419.4</v>
      </c>
      <c r="O16" s="1">
        <v>1431</v>
      </c>
      <c r="P16" s="1">
        <v>11.5999999999999</v>
      </c>
      <c r="Q16" s="1">
        <v>100</v>
      </c>
      <c r="R16" s="1">
        <v>85</v>
      </c>
      <c r="S16" s="1">
        <v>86</v>
      </c>
      <c r="T16" s="1">
        <v>85</v>
      </c>
      <c r="U16" s="1">
        <v>85</v>
      </c>
      <c r="V16" s="1">
        <v>100</v>
      </c>
      <c r="W16" s="1">
        <v>98</v>
      </c>
      <c r="X16" s="1">
        <v>99</v>
      </c>
      <c r="Y16" s="1">
        <v>100</v>
      </c>
      <c r="Z16" s="1">
        <v>100</v>
      </c>
      <c r="AA16" s="1">
        <v>95.285714285714292</v>
      </c>
      <c r="AB16" s="1">
        <f xml:space="preserve"> SUM(C16:E16)</f>
        <v>276</v>
      </c>
      <c r="AC16" s="1">
        <f>SUM(F16:H16)</f>
        <v>276</v>
      </c>
      <c r="AD16" s="1">
        <f t="shared" si="0"/>
        <v>552</v>
      </c>
      <c r="AE16" s="1">
        <f>I16/MAX(1,AB16)</f>
        <v>0.11231884057971014</v>
      </c>
      <c r="AF16" s="1">
        <f>J16/MAX(1,AC16)</f>
        <v>0.10144927536231885</v>
      </c>
      <c r="AG16" s="1">
        <v>1</v>
      </c>
    </row>
    <row r="17" spans="1:33" x14ac:dyDescent="0.25">
      <c r="A17">
        <v>31</v>
      </c>
      <c r="B17" t="s">
        <v>41</v>
      </c>
      <c r="C17" s="1">
        <v>42</v>
      </c>
      <c r="D17" s="1">
        <v>168</v>
      </c>
      <c r="E17" s="1">
        <v>42</v>
      </c>
      <c r="F17" s="1">
        <v>42</v>
      </c>
      <c r="G17" s="1">
        <v>168</v>
      </c>
      <c r="H17" s="1">
        <v>42</v>
      </c>
      <c r="I17" s="1">
        <v>5</v>
      </c>
      <c r="J17" s="1">
        <v>7</v>
      </c>
      <c r="K17" s="1">
        <v>1577</v>
      </c>
      <c r="L17" s="1">
        <v>1589.6</v>
      </c>
      <c r="M17" s="1">
        <v>12.6</v>
      </c>
      <c r="N17" s="1">
        <v>852.8</v>
      </c>
      <c r="O17" s="1">
        <v>857</v>
      </c>
      <c r="P17" s="1">
        <v>4.2000000000000499</v>
      </c>
      <c r="Q17" s="1">
        <v>100</v>
      </c>
      <c r="R17" s="1">
        <v>68</v>
      </c>
      <c r="S17" s="1">
        <v>55</v>
      </c>
      <c r="T17" s="1">
        <v>85</v>
      </c>
      <c r="U17" s="1">
        <v>85</v>
      </c>
      <c r="V17" s="1">
        <v>100</v>
      </c>
      <c r="W17" s="1">
        <v>100</v>
      </c>
      <c r="X17" s="1">
        <v>95</v>
      </c>
      <c r="Y17" s="1">
        <v>95</v>
      </c>
      <c r="Z17" s="1">
        <v>95</v>
      </c>
      <c r="AA17" s="1">
        <v>93.571428571428569</v>
      </c>
      <c r="AB17" s="1">
        <f xml:space="preserve"> SUM(C17:E17)</f>
        <v>252</v>
      </c>
      <c r="AC17" s="1">
        <f>SUM(F17:H17)</f>
        <v>252</v>
      </c>
      <c r="AD17" s="1">
        <f t="shared" si="0"/>
        <v>504</v>
      </c>
      <c r="AE17" s="1">
        <f>I17/MAX(1,AB17)</f>
        <v>1.984126984126984E-2</v>
      </c>
      <c r="AF17" s="1">
        <f>J17/MAX(1,AC17)</f>
        <v>2.7777777777777776E-2</v>
      </c>
      <c r="AG17" s="1">
        <v>1</v>
      </c>
    </row>
    <row r="18" spans="1:33" x14ac:dyDescent="0.25">
      <c r="A18">
        <v>32</v>
      </c>
      <c r="B18" t="s">
        <v>42</v>
      </c>
      <c r="C18" s="1">
        <v>43</v>
      </c>
      <c r="D18" s="1">
        <v>172</v>
      </c>
      <c r="E18" s="1">
        <v>43</v>
      </c>
      <c r="F18" s="1">
        <v>47</v>
      </c>
      <c r="G18" s="1">
        <v>198</v>
      </c>
      <c r="H18" s="1">
        <v>50</v>
      </c>
      <c r="I18" s="1">
        <v>12</v>
      </c>
      <c r="J18" s="1">
        <v>12</v>
      </c>
      <c r="K18" s="1">
        <v>945.6</v>
      </c>
      <c r="L18" s="1">
        <v>1007.6</v>
      </c>
      <c r="M18" s="1">
        <v>62</v>
      </c>
      <c r="N18" s="1">
        <v>2873.2</v>
      </c>
      <c r="O18" s="1">
        <v>2881</v>
      </c>
      <c r="P18" s="1">
        <v>7.8000000000001801</v>
      </c>
      <c r="Q18" s="1">
        <v>100</v>
      </c>
      <c r="R18" s="1">
        <v>98</v>
      </c>
      <c r="S18" s="1">
        <v>100</v>
      </c>
      <c r="T18" s="1">
        <v>85</v>
      </c>
      <c r="U18" s="1">
        <v>85</v>
      </c>
      <c r="V18" s="1">
        <v>100</v>
      </c>
      <c r="W18" s="1">
        <v>83</v>
      </c>
      <c r="X18" s="1">
        <v>100</v>
      </c>
      <c r="Y18" s="1">
        <v>82</v>
      </c>
      <c r="Z18" s="1">
        <v>91</v>
      </c>
      <c r="AA18" s="1">
        <v>89.428571428571431</v>
      </c>
      <c r="AB18" s="1">
        <f xml:space="preserve"> SUM(C18:E18)</f>
        <v>258</v>
      </c>
      <c r="AC18" s="1">
        <f>SUM(F18:H18)</f>
        <v>295</v>
      </c>
      <c r="AD18" s="1">
        <f t="shared" si="0"/>
        <v>553</v>
      </c>
      <c r="AE18" s="1">
        <f>I18/MAX(1,AB18)</f>
        <v>4.6511627906976744E-2</v>
      </c>
      <c r="AF18" s="1">
        <f>J18/MAX(1,AC18)</f>
        <v>4.0677966101694912E-2</v>
      </c>
      <c r="AG18" s="1">
        <v>1</v>
      </c>
    </row>
    <row r="19" spans="1:33" x14ac:dyDescent="0.25">
      <c r="A19">
        <v>33</v>
      </c>
      <c r="B19" t="s">
        <v>43</v>
      </c>
      <c r="C19" s="1">
        <v>43</v>
      </c>
      <c r="D19" s="1">
        <v>172</v>
      </c>
      <c r="E19" s="1">
        <v>43</v>
      </c>
      <c r="F19" s="1">
        <v>29</v>
      </c>
      <c r="G19" s="1">
        <v>116</v>
      </c>
      <c r="H19" s="1">
        <v>29</v>
      </c>
      <c r="I19" s="1">
        <v>0</v>
      </c>
      <c r="J19" s="1">
        <v>0</v>
      </c>
      <c r="K19" s="1">
        <v>2519</v>
      </c>
      <c r="L19" s="1">
        <v>2521.4</v>
      </c>
      <c r="M19" s="1">
        <v>2.2000000000000002</v>
      </c>
      <c r="N19" s="1">
        <v>2373.73</v>
      </c>
      <c r="O19" s="1">
        <v>2379.6</v>
      </c>
      <c r="P19" s="1">
        <v>5.86999999999989</v>
      </c>
      <c r="Q19" s="1">
        <v>100</v>
      </c>
      <c r="R19" s="1">
        <v>55</v>
      </c>
      <c r="S19" s="1">
        <v>47</v>
      </c>
      <c r="T19" s="1">
        <v>70</v>
      </c>
      <c r="U19" s="1">
        <v>70</v>
      </c>
      <c r="V19" s="1">
        <v>95</v>
      </c>
      <c r="W19" s="1">
        <v>64</v>
      </c>
      <c r="X19" s="1">
        <v>94</v>
      </c>
      <c r="Y19" s="1">
        <v>76</v>
      </c>
      <c r="Z19" s="1">
        <v>98</v>
      </c>
      <c r="AA19" s="1">
        <v>81</v>
      </c>
      <c r="AB19" s="1">
        <f xml:space="preserve"> SUM(C19:E19)</f>
        <v>258</v>
      </c>
      <c r="AC19" s="1">
        <f>SUM(F19:H19)</f>
        <v>174</v>
      </c>
      <c r="AD19" s="1">
        <f t="shared" si="0"/>
        <v>432</v>
      </c>
      <c r="AE19" s="1">
        <f>I19/MAX(1,AB19)</f>
        <v>0</v>
      </c>
      <c r="AF19" s="1">
        <f>J19/MAX(1,AC19)</f>
        <v>0</v>
      </c>
      <c r="AG19" s="1">
        <v>1</v>
      </c>
    </row>
    <row r="20" spans="1:33" x14ac:dyDescent="0.25">
      <c r="A20">
        <v>34</v>
      </c>
      <c r="B20" t="s">
        <v>44</v>
      </c>
      <c r="C20" s="1">
        <v>22</v>
      </c>
      <c r="D20" s="1">
        <v>73</v>
      </c>
      <c r="E20" s="1">
        <v>32</v>
      </c>
      <c r="F20" s="1">
        <v>30</v>
      </c>
      <c r="G20" s="1">
        <v>100</v>
      </c>
      <c r="H20" s="1">
        <v>36</v>
      </c>
      <c r="I20" s="1">
        <v>32</v>
      </c>
      <c r="J20" s="1">
        <v>19</v>
      </c>
      <c r="K20" s="1">
        <v>334.67</v>
      </c>
      <c r="L20" s="1">
        <v>342.07</v>
      </c>
      <c r="M20" s="1">
        <v>7</v>
      </c>
      <c r="N20" s="1">
        <v>1451.87</v>
      </c>
      <c r="O20" s="1">
        <v>1455.07</v>
      </c>
      <c r="P20" s="1">
        <v>3.2000000000000499</v>
      </c>
      <c r="Q20" s="1">
        <v>100</v>
      </c>
      <c r="R20" s="1">
        <v>98</v>
      </c>
      <c r="S20" s="1">
        <v>69</v>
      </c>
      <c r="T20" s="1">
        <v>85</v>
      </c>
      <c r="U20" s="1">
        <v>85</v>
      </c>
      <c r="V20" s="1">
        <v>100</v>
      </c>
      <c r="W20" s="1">
        <v>100</v>
      </c>
      <c r="X20" s="1">
        <v>97</v>
      </c>
      <c r="Y20" s="1">
        <v>100</v>
      </c>
      <c r="Z20" s="1">
        <v>95</v>
      </c>
      <c r="AA20" s="1">
        <v>94.571428571428569</v>
      </c>
      <c r="AB20" s="1">
        <f xml:space="preserve"> SUM(C20:E20)</f>
        <v>127</v>
      </c>
      <c r="AC20" s="1">
        <f>SUM(F20:H20)</f>
        <v>166</v>
      </c>
      <c r="AD20" s="1">
        <f t="shared" si="0"/>
        <v>293</v>
      </c>
      <c r="AE20" s="1">
        <f>I20/MAX(1,AB20)</f>
        <v>0.25196850393700787</v>
      </c>
      <c r="AF20" s="1">
        <f>J20/MAX(1,AC20)</f>
        <v>0.1144578313253012</v>
      </c>
      <c r="AG20" s="1">
        <v>1</v>
      </c>
    </row>
    <row r="21" spans="1:33" x14ac:dyDescent="0.25">
      <c r="A21">
        <v>37</v>
      </c>
      <c r="B21" t="s">
        <v>47</v>
      </c>
      <c r="C21" s="1">
        <v>36</v>
      </c>
      <c r="D21" s="1">
        <v>108</v>
      </c>
      <c r="E21" s="1">
        <v>32</v>
      </c>
      <c r="F21" s="1">
        <v>30</v>
      </c>
      <c r="G21" s="1">
        <v>124</v>
      </c>
      <c r="H21" s="1">
        <v>34</v>
      </c>
      <c r="I21" s="1">
        <v>21</v>
      </c>
      <c r="J21" s="1">
        <v>2</v>
      </c>
      <c r="K21" s="1">
        <v>1327.6</v>
      </c>
      <c r="L21" s="1">
        <v>1344.07</v>
      </c>
      <c r="M21" s="1">
        <v>16.329999999999998</v>
      </c>
      <c r="N21" s="1">
        <v>821.47</v>
      </c>
      <c r="O21" s="1">
        <v>822.87</v>
      </c>
      <c r="P21" s="1">
        <v>1.3999999999999799</v>
      </c>
      <c r="Q21" s="1">
        <v>100</v>
      </c>
      <c r="R21" s="1">
        <v>70</v>
      </c>
      <c r="S21" s="1">
        <v>78</v>
      </c>
      <c r="T21" s="1">
        <v>85</v>
      </c>
      <c r="U21" s="1">
        <v>85</v>
      </c>
      <c r="V21" s="1">
        <v>98</v>
      </c>
      <c r="W21" s="1">
        <v>100</v>
      </c>
      <c r="X21" s="1">
        <v>96</v>
      </c>
      <c r="Y21" s="1">
        <v>100</v>
      </c>
      <c r="Z21" s="1">
        <v>97</v>
      </c>
      <c r="AA21" s="1">
        <v>94.428571428571431</v>
      </c>
      <c r="AB21" s="1">
        <f xml:space="preserve"> SUM(C21:E21)</f>
        <v>176</v>
      </c>
      <c r="AC21" s="1">
        <f>SUM(F21:H21)</f>
        <v>188</v>
      </c>
      <c r="AD21" s="1">
        <f t="shared" si="0"/>
        <v>364</v>
      </c>
      <c r="AE21" s="1">
        <f>I21/MAX(1,AB21)</f>
        <v>0.11931818181818182</v>
      </c>
      <c r="AF21" s="1">
        <f>J21/MAX(1,AC21)</f>
        <v>1.0638297872340425E-2</v>
      </c>
      <c r="AG21" s="1">
        <v>1</v>
      </c>
    </row>
    <row r="22" spans="1:33" x14ac:dyDescent="0.25">
      <c r="A22">
        <v>40</v>
      </c>
      <c r="B22" t="s">
        <v>50</v>
      </c>
      <c r="C22" s="1">
        <v>51</v>
      </c>
      <c r="D22" s="1">
        <v>132</v>
      </c>
      <c r="E22" s="1">
        <v>51</v>
      </c>
      <c r="F22" s="1">
        <v>51</v>
      </c>
      <c r="G22" s="1">
        <v>168</v>
      </c>
      <c r="H22" s="1">
        <v>51</v>
      </c>
      <c r="I22" s="1">
        <v>24</v>
      </c>
      <c r="J22" s="1">
        <v>12</v>
      </c>
      <c r="K22" s="1">
        <v>399.8</v>
      </c>
      <c r="L22" s="1">
        <v>421.2</v>
      </c>
      <c r="M22" s="1">
        <v>21.2</v>
      </c>
      <c r="N22" s="1">
        <v>700.8</v>
      </c>
      <c r="O22" s="1">
        <v>707</v>
      </c>
      <c r="P22" s="1">
        <v>6.2000000000000499</v>
      </c>
      <c r="Q22" s="1">
        <v>95</v>
      </c>
      <c r="R22" s="1">
        <v>66</v>
      </c>
      <c r="S22" s="1">
        <v>56</v>
      </c>
      <c r="T22" s="1">
        <v>78</v>
      </c>
      <c r="U22" s="1">
        <v>78</v>
      </c>
      <c r="V22" s="1">
        <v>100</v>
      </c>
      <c r="W22" s="1">
        <v>98</v>
      </c>
      <c r="X22" s="1">
        <v>98</v>
      </c>
      <c r="Y22" s="1">
        <v>68</v>
      </c>
      <c r="Z22" s="1">
        <v>100</v>
      </c>
      <c r="AA22" s="1">
        <v>88.571428571428569</v>
      </c>
      <c r="AB22" s="1">
        <f xml:space="preserve"> SUM(C22:E22)</f>
        <v>234</v>
      </c>
      <c r="AC22" s="1">
        <f>SUM(F22:H22)</f>
        <v>270</v>
      </c>
      <c r="AD22" s="1">
        <f t="shared" si="0"/>
        <v>504</v>
      </c>
      <c r="AE22" s="1">
        <f>I22/MAX(1,AB22)</f>
        <v>0.10256410256410256</v>
      </c>
      <c r="AF22" s="1">
        <f>J22/MAX(1,AC22)</f>
        <v>4.4444444444444446E-2</v>
      </c>
      <c r="AG22" s="1">
        <v>1</v>
      </c>
    </row>
    <row r="23" spans="1:33" x14ac:dyDescent="0.25">
      <c r="A23">
        <v>41</v>
      </c>
      <c r="B23" t="s">
        <v>51</v>
      </c>
      <c r="C23" s="1">
        <v>46</v>
      </c>
      <c r="D23" s="1">
        <v>184</v>
      </c>
      <c r="E23" s="1">
        <v>46</v>
      </c>
      <c r="F23" s="1">
        <v>46</v>
      </c>
      <c r="G23" s="1">
        <v>184</v>
      </c>
      <c r="H23" s="1">
        <v>46</v>
      </c>
      <c r="I23" s="1">
        <v>9</v>
      </c>
      <c r="J23" s="1">
        <v>10</v>
      </c>
      <c r="K23" s="1">
        <v>3676.4</v>
      </c>
      <c r="L23" s="1">
        <v>3719.6</v>
      </c>
      <c r="M23" s="1">
        <v>43.2</v>
      </c>
      <c r="N23" s="1">
        <v>1276.2</v>
      </c>
      <c r="O23" s="1">
        <v>1286</v>
      </c>
      <c r="P23" s="1">
        <v>9.7999999999999492</v>
      </c>
      <c r="Q23" s="1">
        <v>95</v>
      </c>
      <c r="R23" s="1">
        <v>64</v>
      </c>
      <c r="S23" s="1">
        <v>88</v>
      </c>
      <c r="T23" s="1">
        <v>87</v>
      </c>
      <c r="U23" s="1">
        <v>87</v>
      </c>
      <c r="V23" s="1">
        <v>100</v>
      </c>
      <c r="W23" s="1">
        <v>100</v>
      </c>
      <c r="X23" s="1">
        <v>65</v>
      </c>
      <c r="Y23" s="1">
        <v>67</v>
      </c>
      <c r="Z23" s="1">
        <v>57</v>
      </c>
      <c r="AA23" s="1">
        <v>80.428571428571431</v>
      </c>
      <c r="AB23" s="1">
        <f xml:space="preserve"> SUM(C23:E23)</f>
        <v>276</v>
      </c>
      <c r="AC23" s="1">
        <f>SUM(F23:H23)</f>
        <v>276</v>
      </c>
      <c r="AD23" s="1">
        <f t="shared" si="0"/>
        <v>552</v>
      </c>
      <c r="AE23" s="1">
        <f>I23/MAX(1,AB23)</f>
        <v>3.2608695652173912E-2</v>
      </c>
      <c r="AF23" s="1">
        <f>J23/MAX(1,AC23)</f>
        <v>3.6231884057971016E-2</v>
      </c>
      <c r="AG23" s="1">
        <v>1</v>
      </c>
    </row>
    <row r="24" spans="1:33" x14ac:dyDescent="0.25">
      <c r="A24">
        <v>46</v>
      </c>
      <c r="B24" t="s">
        <v>56</v>
      </c>
      <c r="C24" s="1">
        <v>33</v>
      </c>
      <c r="D24" s="1">
        <v>132</v>
      </c>
      <c r="E24" s="1">
        <v>33</v>
      </c>
      <c r="F24" s="1">
        <v>42</v>
      </c>
      <c r="G24" s="1">
        <v>168</v>
      </c>
      <c r="H24" s="1">
        <v>42</v>
      </c>
      <c r="I24" s="1">
        <v>8</v>
      </c>
      <c r="J24" s="1">
        <v>4</v>
      </c>
      <c r="K24" s="1">
        <v>1044</v>
      </c>
      <c r="L24" s="1">
        <v>1054.5999999999999</v>
      </c>
      <c r="M24" s="1">
        <v>10.6</v>
      </c>
      <c r="N24" s="1">
        <v>990.07</v>
      </c>
      <c r="O24" s="1">
        <v>996.8</v>
      </c>
      <c r="P24" s="1">
        <v>6.7299999999999001</v>
      </c>
      <c r="Q24" s="1">
        <v>100</v>
      </c>
      <c r="R24" s="1">
        <v>70</v>
      </c>
      <c r="S24" s="1">
        <v>67</v>
      </c>
      <c r="T24" s="1">
        <v>85</v>
      </c>
      <c r="U24" s="1">
        <v>85</v>
      </c>
      <c r="V24" s="1">
        <v>100</v>
      </c>
      <c r="W24" s="1">
        <v>49</v>
      </c>
      <c r="X24" s="1">
        <v>98</v>
      </c>
      <c r="Y24" s="1">
        <v>80</v>
      </c>
      <c r="Z24" s="1">
        <v>61</v>
      </c>
      <c r="AA24" s="1">
        <v>79.714285714285708</v>
      </c>
      <c r="AB24" s="1">
        <f xml:space="preserve"> SUM(C24:E24)</f>
        <v>198</v>
      </c>
      <c r="AC24" s="1">
        <f>SUM(F24:H24)</f>
        <v>252</v>
      </c>
      <c r="AD24" s="1">
        <f t="shared" si="0"/>
        <v>450</v>
      </c>
      <c r="AE24" s="1">
        <f>I24/MAX(1,AB24)</f>
        <v>4.0404040404040407E-2</v>
      </c>
      <c r="AF24" s="1">
        <f>J24/MAX(1,AC24)</f>
        <v>1.5873015873015872E-2</v>
      </c>
      <c r="AG24" s="1">
        <v>1</v>
      </c>
    </row>
    <row r="25" spans="1:33" x14ac:dyDescent="0.25">
      <c r="A25">
        <v>47</v>
      </c>
      <c r="B25" t="s">
        <v>57</v>
      </c>
      <c r="C25" s="1">
        <v>41</v>
      </c>
      <c r="D25" s="1">
        <v>164</v>
      </c>
      <c r="E25" s="1">
        <v>41</v>
      </c>
      <c r="F25" s="1">
        <v>33</v>
      </c>
      <c r="G25" s="1">
        <v>132</v>
      </c>
      <c r="H25" s="1">
        <v>33</v>
      </c>
      <c r="I25" s="1">
        <v>44</v>
      </c>
      <c r="J25" s="1">
        <v>29</v>
      </c>
      <c r="K25" s="1">
        <v>629.79999999999995</v>
      </c>
      <c r="L25" s="1">
        <v>636.6</v>
      </c>
      <c r="M25" s="1">
        <v>6.8</v>
      </c>
      <c r="N25" s="1">
        <v>1169</v>
      </c>
      <c r="O25" s="1">
        <v>1174</v>
      </c>
      <c r="P25" s="1">
        <v>5</v>
      </c>
      <c r="Q25" s="1">
        <v>100</v>
      </c>
      <c r="R25" s="1">
        <v>59</v>
      </c>
      <c r="S25" s="1">
        <v>72</v>
      </c>
      <c r="T25" s="1">
        <v>64</v>
      </c>
      <c r="U25" s="1">
        <v>64</v>
      </c>
      <c r="V25" s="1">
        <v>100</v>
      </c>
      <c r="W25" s="1">
        <v>100</v>
      </c>
      <c r="X25" s="1">
        <v>92</v>
      </c>
      <c r="Y25" s="1">
        <v>97</v>
      </c>
      <c r="Z25" s="1">
        <v>97</v>
      </c>
      <c r="AA25" s="1">
        <v>87.714285714285708</v>
      </c>
      <c r="AB25" s="1">
        <f xml:space="preserve"> SUM(C25:E25)</f>
        <v>246</v>
      </c>
      <c r="AC25" s="1">
        <f>SUM(F25:H25)</f>
        <v>198</v>
      </c>
      <c r="AD25" s="1">
        <f t="shared" si="0"/>
        <v>444</v>
      </c>
      <c r="AE25" s="1">
        <f>I25/MAX(1,AB25)</f>
        <v>0.17886178861788618</v>
      </c>
      <c r="AF25" s="1">
        <f>J25/MAX(1,AC25)</f>
        <v>0.14646464646464646</v>
      </c>
      <c r="AG25" s="1">
        <v>1</v>
      </c>
    </row>
    <row r="26" spans="1:33" x14ac:dyDescent="0.25">
      <c r="A26">
        <v>48</v>
      </c>
      <c r="B26" t="s">
        <v>58</v>
      </c>
      <c r="C26" s="1">
        <v>40</v>
      </c>
      <c r="D26" s="1">
        <v>160</v>
      </c>
      <c r="E26" s="1">
        <v>40</v>
      </c>
      <c r="F26" s="1">
        <v>30</v>
      </c>
      <c r="G26" s="1">
        <v>120</v>
      </c>
      <c r="H26" s="1">
        <v>30</v>
      </c>
      <c r="I26" s="1">
        <v>6</v>
      </c>
      <c r="J26" s="1">
        <v>6</v>
      </c>
      <c r="K26" s="1">
        <v>1108.2</v>
      </c>
      <c r="L26" s="1">
        <v>1124</v>
      </c>
      <c r="M26" s="1">
        <v>15.8</v>
      </c>
      <c r="N26" s="1">
        <v>1293.8</v>
      </c>
      <c r="O26" s="1">
        <v>1299.8</v>
      </c>
      <c r="P26" s="1">
        <v>6</v>
      </c>
      <c r="Q26" s="1">
        <v>95</v>
      </c>
      <c r="R26" s="1">
        <v>47</v>
      </c>
      <c r="S26" s="1">
        <v>64</v>
      </c>
      <c r="T26" s="1">
        <v>65</v>
      </c>
      <c r="U26" s="1">
        <v>65</v>
      </c>
      <c r="V26" s="1">
        <v>98</v>
      </c>
      <c r="W26" s="1">
        <v>91</v>
      </c>
      <c r="X26" s="1">
        <v>74</v>
      </c>
      <c r="Y26" s="1">
        <v>81</v>
      </c>
      <c r="Z26" s="1">
        <v>97</v>
      </c>
      <c r="AA26" s="1">
        <v>81.571428571428569</v>
      </c>
      <c r="AB26" s="1">
        <f xml:space="preserve"> SUM(C26:E26)</f>
        <v>240</v>
      </c>
      <c r="AC26" s="1">
        <f>SUM(F26:H26)</f>
        <v>180</v>
      </c>
      <c r="AD26" s="1">
        <f t="shared" si="0"/>
        <v>420</v>
      </c>
      <c r="AE26" s="1">
        <f>I26/MAX(1,AB26)</f>
        <v>2.5000000000000001E-2</v>
      </c>
      <c r="AF26" s="1">
        <f>J26/MAX(1,AC26)</f>
        <v>3.3333333333333333E-2</v>
      </c>
      <c r="AG26" s="1">
        <v>1</v>
      </c>
    </row>
    <row r="27" spans="1:33" x14ac:dyDescent="0.25">
      <c r="A27">
        <v>49</v>
      </c>
      <c r="B27" t="s">
        <v>59</v>
      </c>
      <c r="C27" s="1">
        <v>36</v>
      </c>
      <c r="D27" s="1">
        <v>144</v>
      </c>
      <c r="E27" s="1">
        <v>36</v>
      </c>
      <c r="F27" s="1">
        <v>23</v>
      </c>
      <c r="G27" s="1">
        <v>92</v>
      </c>
      <c r="H27" s="1">
        <v>23</v>
      </c>
      <c r="I27" s="1">
        <v>13</v>
      </c>
      <c r="J27" s="1">
        <v>0</v>
      </c>
      <c r="K27" s="1">
        <v>853.8</v>
      </c>
      <c r="L27" s="1">
        <v>867.2</v>
      </c>
      <c r="M27" s="1">
        <v>13.4</v>
      </c>
      <c r="N27" s="1">
        <v>3696</v>
      </c>
      <c r="O27" s="1">
        <v>3700.6</v>
      </c>
      <c r="P27" s="1">
        <v>4.5999999999999099</v>
      </c>
      <c r="Q27" s="1">
        <v>90</v>
      </c>
      <c r="R27" s="1">
        <v>91</v>
      </c>
      <c r="S27" s="1">
        <v>62</v>
      </c>
      <c r="T27" s="1">
        <v>55</v>
      </c>
      <c r="U27" s="1">
        <v>55</v>
      </c>
      <c r="V27" s="1">
        <v>92</v>
      </c>
      <c r="W27" s="1">
        <v>65</v>
      </c>
      <c r="X27" s="1">
        <v>80</v>
      </c>
      <c r="Y27" s="1">
        <v>98</v>
      </c>
      <c r="Z27" s="1">
        <v>68</v>
      </c>
      <c r="AA27" s="1">
        <v>73.285714285714292</v>
      </c>
      <c r="AB27" s="1">
        <f xml:space="preserve"> SUM(C27:E27)</f>
        <v>216</v>
      </c>
      <c r="AC27" s="1">
        <f>SUM(F27:H27)</f>
        <v>138</v>
      </c>
      <c r="AD27" s="1">
        <f t="shared" si="0"/>
        <v>354</v>
      </c>
      <c r="AE27" s="1">
        <f>I27/MAX(1,AB27)</f>
        <v>6.0185185185185182E-2</v>
      </c>
      <c r="AF27" s="1">
        <f>J27/MAX(1,AC27)</f>
        <v>0</v>
      </c>
      <c r="AG27" s="1">
        <v>1</v>
      </c>
    </row>
    <row r="28" spans="1:33" x14ac:dyDescent="0.25">
      <c r="A28">
        <v>50</v>
      </c>
      <c r="B28" t="s">
        <v>60</v>
      </c>
      <c r="C28" s="1">
        <v>43</v>
      </c>
      <c r="D28" s="1">
        <v>172</v>
      </c>
      <c r="E28" s="1">
        <v>43</v>
      </c>
      <c r="F28" s="1">
        <v>34</v>
      </c>
      <c r="G28" s="1">
        <v>136</v>
      </c>
      <c r="H28" s="1">
        <v>34</v>
      </c>
      <c r="I28" s="1">
        <v>7</v>
      </c>
      <c r="J28" s="1">
        <v>2</v>
      </c>
      <c r="K28" s="1">
        <v>882</v>
      </c>
      <c r="L28" s="1">
        <v>895.2</v>
      </c>
      <c r="M28" s="1">
        <v>13.2</v>
      </c>
      <c r="N28" s="1">
        <v>1229.4000000000001</v>
      </c>
      <c r="O28" s="1">
        <v>1231</v>
      </c>
      <c r="P28" s="1">
        <v>1.5999999999999099</v>
      </c>
      <c r="Q28" s="1">
        <v>100</v>
      </c>
      <c r="R28" s="1">
        <v>93</v>
      </c>
      <c r="S28" s="1">
        <v>95</v>
      </c>
      <c r="T28" s="1">
        <v>78</v>
      </c>
      <c r="U28" s="1">
        <v>78</v>
      </c>
      <c r="V28" s="1">
        <v>100</v>
      </c>
      <c r="W28" s="1">
        <v>98</v>
      </c>
      <c r="X28" s="1">
        <v>98</v>
      </c>
      <c r="Y28" s="1">
        <v>97</v>
      </c>
      <c r="Z28" s="1">
        <v>66</v>
      </c>
      <c r="AA28" s="1">
        <v>87.857142857142861</v>
      </c>
      <c r="AB28" s="1">
        <f xml:space="preserve"> SUM(C28:E28)</f>
        <v>258</v>
      </c>
      <c r="AC28" s="1">
        <f>SUM(F28:H28)</f>
        <v>204</v>
      </c>
      <c r="AD28" s="1">
        <f t="shared" si="0"/>
        <v>462</v>
      </c>
      <c r="AE28" s="1">
        <f>I28/MAX(1,AB28)</f>
        <v>2.7131782945736434E-2</v>
      </c>
      <c r="AF28" s="1">
        <f>J28/MAX(1,AC28)</f>
        <v>9.8039215686274508E-3</v>
      </c>
      <c r="AG28" s="1">
        <v>1</v>
      </c>
    </row>
    <row r="29" spans="1:33" x14ac:dyDescent="0.25">
      <c r="A29">
        <v>51</v>
      </c>
      <c r="B29" t="s">
        <v>61</v>
      </c>
      <c r="C29" s="1">
        <v>34</v>
      </c>
      <c r="D29" s="1">
        <v>136</v>
      </c>
      <c r="E29" s="1">
        <v>34</v>
      </c>
      <c r="F29" s="1">
        <v>39</v>
      </c>
      <c r="G29" s="1">
        <v>156</v>
      </c>
      <c r="H29" s="1">
        <v>39</v>
      </c>
      <c r="I29" s="1">
        <v>10</v>
      </c>
      <c r="J29" s="1">
        <v>4</v>
      </c>
      <c r="K29" s="1">
        <v>1265</v>
      </c>
      <c r="L29" s="1">
        <v>1273</v>
      </c>
      <c r="M29" s="1">
        <v>7.8</v>
      </c>
      <c r="N29" s="1">
        <v>2648.8</v>
      </c>
      <c r="O29" s="1">
        <v>3725.2</v>
      </c>
      <c r="P29" s="1">
        <v>1076.4000000000001</v>
      </c>
      <c r="Q29" s="1">
        <v>90</v>
      </c>
      <c r="R29" s="1">
        <v>52</v>
      </c>
      <c r="S29" s="1">
        <v>72</v>
      </c>
      <c r="T29" s="1">
        <v>79</v>
      </c>
      <c r="U29" s="1">
        <v>79</v>
      </c>
      <c r="V29" s="1">
        <v>87</v>
      </c>
      <c r="W29" s="1">
        <v>98</v>
      </c>
      <c r="X29" s="1">
        <v>66</v>
      </c>
      <c r="Y29" s="1">
        <v>77</v>
      </c>
      <c r="Z29" s="1">
        <v>100</v>
      </c>
      <c r="AA29" s="1">
        <v>83.714285714285708</v>
      </c>
      <c r="AB29" s="1">
        <f xml:space="preserve"> SUM(C29:E29)</f>
        <v>204</v>
      </c>
      <c r="AC29" s="1">
        <f>SUM(F29:H29)</f>
        <v>234</v>
      </c>
      <c r="AD29" s="1">
        <f t="shared" si="0"/>
        <v>438</v>
      </c>
      <c r="AE29" s="1">
        <f>I29/MAX(1,AB29)</f>
        <v>4.9019607843137254E-2</v>
      </c>
      <c r="AF29" s="1">
        <f>J29/MAX(1,AC29)</f>
        <v>1.7094017094017096E-2</v>
      </c>
      <c r="AG29" s="1">
        <v>1</v>
      </c>
    </row>
    <row r="30" spans="1:33" x14ac:dyDescent="0.25">
      <c r="A30">
        <v>52</v>
      </c>
      <c r="B30" t="s">
        <v>62</v>
      </c>
      <c r="C30" s="1">
        <v>39</v>
      </c>
      <c r="D30" s="1">
        <v>156</v>
      </c>
      <c r="E30" s="1">
        <v>39</v>
      </c>
      <c r="F30" s="1">
        <v>36</v>
      </c>
      <c r="G30" s="1">
        <v>128</v>
      </c>
      <c r="H30" s="1">
        <v>32</v>
      </c>
      <c r="I30" s="1">
        <v>35</v>
      </c>
      <c r="J30" s="1">
        <v>8</v>
      </c>
      <c r="K30" s="1">
        <v>1086</v>
      </c>
      <c r="L30" s="1">
        <v>1462.8</v>
      </c>
      <c r="M30" s="1">
        <v>376.8</v>
      </c>
      <c r="N30" s="1">
        <v>1848.2</v>
      </c>
      <c r="O30" s="1">
        <v>1855.4</v>
      </c>
      <c r="P30" s="1">
        <v>7.2000000000000499</v>
      </c>
      <c r="Q30" s="1">
        <v>100</v>
      </c>
      <c r="R30" s="1">
        <v>75</v>
      </c>
      <c r="S30" s="1">
        <v>61</v>
      </c>
      <c r="T30" s="1">
        <v>79</v>
      </c>
      <c r="U30" s="1">
        <v>79</v>
      </c>
      <c r="V30" s="1">
        <v>99</v>
      </c>
      <c r="W30" s="1">
        <v>98</v>
      </c>
      <c r="X30" s="1">
        <v>100</v>
      </c>
      <c r="Y30" s="1">
        <v>100</v>
      </c>
      <c r="Z30" s="1">
        <v>100</v>
      </c>
      <c r="AA30" s="1">
        <v>93.571428571428569</v>
      </c>
      <c r="AB30" s="1">
        <f xml:space="preserve"> SUM(C30:E30)</f>
        <v>234</v>
      </c>
      <c r="AC30" s="1">
        <f>SUM(F30:H30)</f>
        <v>196</v>
      </c>
      <c r="AD30" s="1">
        <f t="shared" si="0"/>
        <v>430</v>
      </c>
      <c r="AE30" s="1">
        <f>I30/MAX(1,AB30)</f>
        <v>0.14957264957264957</v>
      </c>
      <c r="AF30" s="1">
        <f>J30/MAX(1,AC30)</f>
        <v>4.0816326530612242E-2</v>
      </c>
      <c r="AG30" s="1">
        <v>1</v>
      </c>
    </row>
    <row r="31" spans="1:33" x14ac:dyDescent="0.25">
      <c r="A31">
        <v>53</v>
      </c>
      <c r="B31" t="s">
        <v>63</v>
      </c>
      <c r="C31" s="1">
        <v>37</v>
      </c>
      <c r="D31" s="1">
        <v>148</v>
      </c>
      <c r="E31" s="1">
        <v>37</v>
      </c>
      <c r="F31" s="1">
        <v>37</v>
      </c>
      <c r="G31" s="1">
        <v>148</v>
      </c>
      <c r="H31" s="1">
        <v>37</v>
      </c>
      <c r="I31" s="1">
        <v>15</v>
      </c>
      <c r="J31" s="1">
        <v>12</v>
      </c>
      <c r="K31" s="1">
        <v>1648.4</v>
      </c>
      <c r="L31" s="1">
        <v>1953.6</v>
      </c>
      <c r="M31" s="1">
        <v>305.2</v>
      </c>
      <c r="N31" s="1">
        <v>3130.73</v>
      </c>
      <c r="O31" s="1">
        <v>3138.6</v>
      </c>
      <c r="P31" s="1">
        <v>7.86999999999989</v>
      </c>
      <c r="Q31" s="1">
        <v>100</v>
      </c>
      <c r="R31" s="1">
        <v>67</v>
      </c>
      <c r="S31" s="1">
        <v>81</v>
      </c>
      <c r="T31" s="1">
        <v>85</v>
      </c>
      <c r="U31" s="1">
        <v>85</v>
      </c>
      <c r="V31" s="1">
        <v>99</v>
      </c>
      <c r="W31" s="1">
        <v>100</v>
      </c>
      <c r="X31" s="1">
        <v>98</v>
      </c>
      <c r="Y31" s="1">
        <v>99</v>
      </c>
      <c r="Z31" s="1">
        <v>99</v>
      </c>
      <c r="AA31" s="1">
        <v>95</v>
      </c>
      <c r="AB31" s="1">
        <f xml:space="preserve"> SUM(C31:E31)</f>
        <v>222</v>
      </c>
      <c r="AC31" s="1">
        <f>SUM(F31:H31)</f>
        <v>222</v>
      </c>
      <c r="AD31" s="1">
        <f t="shared" si="0"/>
        <v>444</v>
      </c>
      <c r="AE31" s="1">
        <f>I31/MAX(1,AB31)</f>
        <v>6.7567567567567571E-2</v>
      </c>
      <c r="AF31" s="1">
        <f>J31/MAX(1,AC31)</f>
        <v>5.4054054054054057E-2</v>
      </c>
      <c r="AG31" s="1">
        <v>1</v>
      </c>
    </row>
    <row r="32" spans="1:33" x14ac:dyDescent="0.25">
      <c r="A32">
        <v>58</v>
      </c>
      <c r="B32" t="s">
        <v>68</v>
      </c>
      <c r="C32" s="1">
        <v>52</v>
      </c>
      <c r="D32" s="1">
        <v>203</v>
      </c>
      <c r="E32" s="1">
        <v>52</v>
      </c>
      <c r="F32" s="1">
        <v>52</v>
      </c>
      <c r="G32" s="1">
        <v>208</v>
      </c>
      <c r="H32" s="1">
        <v>52</v>
      </c>
      <c r="I32" s="1">
        <v>10</v>
      </c>
      <c r="J32" s="1">
        <v>5</v>
      </c>
      <c r="K32" s="1">
        <v>1112.5999999999999</v>
      </c>
      <c r="L32" s="1">
        <v>1471.6</v>
      </c>
      <c r="M32" s="1">
        <v>359</v>
      </c>
      <c r="N32" s="1">
        <v>1162.5999999999999</v>
      </c>
      <c r="O32" s="1">
        <v>1166.8699999999999</v>
      </c>
      <c r="P32" s="1">
        <v>4.26999999999998</v>
      </c>
      <c r="Q32" s="1">
        <v>100</v>
      </c>
      <c r="R32" s="1">
        <v>60</v>
      </c>
      <c r="S32" s="1">
        <v>57</v>
      </c>
      <c r="T32" s="1">
        <v>85</v>
      </c>
      <c r="U32" s="1">
        <v>85</v>
      </c>
      <c r="V32" s="1">
        <v>99</v>
      </c>
      <c r="W32" s="1">
        <v>97</v>
      </c>
      <c r="X32" s="1">
        <v>98</v>
      </c>
      <c r="Y32" s="1">
        <v>68</v>
      </c>
      <c r="Z32" s="1">
        <v>98</v>
      </c>
      <c r="AA32" s="1">
        <v>90</v>
      </c>
      <c r="AB32" s="1">
        <f xml:space="preserve"> SUM(C32:E32)</f>
        <v>307</v>
      </c>
      <c r="AC32" s="1">
        <f>SUM(F32:H32)</f>
        <v>312</v>
      </c>
      <c r="AD32" s="1">
        <f t="shared" si="0"/>
        <v>619</v>
      </c>
      <c r="AE32" s="1">
        <f>I32/MAX(1,AB32)</f>
        <v>3.2573289902280131E-2</v>
      </c>
      <c r="AF32" s="1">
        <f>J32/MAX(1,AC32)</f>
        <v>1.6025641025641024E-2</v>
      </c>
      <c r="AG32" s="1">
        <v>1</v>
      </c>
    </row>
    <row r="33" spans="1:33" x14ac:dyDescent="0.25">
      <c r="A33">
        <v>59</v>
      </c>
      <c r="B33" t="s">
        <v>69</v>
      </c>
      <c r="C33" s="1">
        <v>47</v>
      </c>
      <c r="D33" s="1">
        <v>188</v>
      </c>
      <c r="E33" s="1">
        <v>47</v>
      </c>
      <c r="F33" s="1">
        <v>38</v>
      </c>
      <c r="G33" s="1">
        <v>152</v>
      </c>
      <c r="H33" s="1">
        <v>38</v>
      </c>
      <c r="I33" s="1">
        <v>23</v>
      </c>
      <c r="J33" s="1">
        <v>17</v>
      </c>
      <c r="K33" s="1">
        <v>2431</v>
      </c>
      <c r="L33" s="1">
        <v>3312.8</v>
      </c>
      <c r="M33" s="1">
        <v>881.8</v>
      </c>
      <c r="N33" s="1">
        <v>2142.4</v>
      </c>
      <c r="O33" s="1">
        <v>2163.4</v>
      </c>
      <c r="P33" s="1">
        <v>21</v>
      </c>
      <c r="Q33" s="1">
        <v>100</v>
      </c>
      <c r="R33" s="1">
        <v>76</v>
      </c>
      <c r="S33" s="1">
        <v>75</v>
      </c>
      <c r="T33" s="1">
        <v>85</v>
      </c>
      <c r="U33" s="1">
        <v>85</v>
      </c>
      <c r="V33" s="1">
        <v>100</v>
      </c>
      <c r="W33" s="1">
        <v>99</v>
      </c>
      <c r="X33" s="1">
        <v>100</v>
      </c>
      <c r="Y33" s="1">
        <v>100</v>
      </c>
      <c r="Z33" s="1">
        <v>83</v>
      </c>
      <c r="AA33" s="1">
        <v>93.142857142857139</v>
      </c>
      <c r="AB33" s="1">
        <f xml:space="preserve"> SUM(C33:E33)</f>
        <v>282</v>
      </c>
      <c r="AC33" s="1">
        <f>SUM(F33:H33)</f>
        <v>228</v>
      </c>
      <c r="AD33" s="1">
        <f t="shared" si="0"/>
        <v>510</v>
      </c>
      <c r="AE33" s="1">
        <f>I33/MAX(1,AB33)</f>
        <v>8.1560283687943269E-2</v>
      </c>
      <c r="AF33" s="1">
        <f>J33/MAX(1,AC33)</f>
        <v>7.4561403508771926E-2</v>
      </c>
      <c r="AG33" s="1">
        <v>1</v>
      </c>
    </row>
    <row r="34" spans="1:33" x14ac:dyDescent="0.25">
      <c r="A34">
        <v>60</v>
      </c>
      <c r="B34" t="s">
        <v>70</v>
      </c>
      <c r="C34" s="1">
        <v>46</v>
      </c>
      <c r="D34" s="1">
        <v>184</v>
      </c>
      <c r="E34" s="1">
        <v>46</v>
      </c>
      <c r="F34" s="1">
        <v>38</v>
      </c>
      <c r="G34" s="1">
        <v>152</v>
      </c>
      <c r="H34" s="1">
        <v>38</v>
      </c>
      <c r="I34" s="1">
        <v>7</v>
      </c>
      <c r="J34" s="1">
        <v>5</v>
      </c>
      <c r="K34" s="1">
        <v>1557.4</v>
      </c>
      <c r="L34" s="1">
        <v>1644.8</v>
      </c>
      <c r="M34" s="1">
        <v>87.4</v>
      </c>
      <c r="N34" s="1">
        <v>1814.8</v>
      </c>
      <c r="O34" s="1">
        <v>2127</v>
      </c>
      <c r="P34" s="1">
        <v>312.2</v>
      </c>
      <c r="Q34" s="1">
        <v>100</v>
      </c>
      <c r="R34" s="1">
        <v>64</v>
      </c>
      <c r="S34" s="1">
        <v>59</v>
      </c>
      <c r="T34" s="1">
        <v>78</v>
      </c>
      <c r="U34" s="1">
        <v>78</v>
      </c>
      <c r="V34" s="1">
        <v>96</v>
      </c>
      <c r="W34" s="1">
        <v>99</v>
      </c>
      <c r="X34" s="1">
        <v>100</v>
      </c>
      <c r="Y34" s="1">
        <v>99</v>
      </c>
      <c r="Z34" s="1">
        <v>82</v>
      </c>
      <c r="AA34" s="1">
        <v>90.285714285714292</v>
      </c>
      <c r="AB34" s="1">
        <f xml:space="preserve"> SUM(C34:E34)</f>
        <v>276</v>
      </c>
      <c r="AC34" s="1">
        <f>SUM(F34:H34)</f>
        <v>228</v>
      </c>
      <c r="AD34" s="1">
        <f t="shared" si="0"/>
        <v>504</v>
      </c>
      <c r="AE34" s="1">
        <f>I34/MAX(1,AB34)</f>
        <v>2.5362318840579712E-2</v>
      </c>
      <c r="AF34" s="1">
        <f>J34/MAX(1,AC34)</f>
        <v>2.1929824561403508E-2</v>
      </c>
      <c r="AG34" s="1">
        <v>1</v>
      </c>
    </row>
    <row r="35" spans="1:33" x14ac:dyDescent="0.25">
      <c r="A35">
        <v>61</v>
      </c>
      <c r="B35" t="s">
        <v>71</v>
      </c>
      <c r="C35" s="1">
        <v>45</v>
      </c>
      <c r="D35" s="1">
        <v>180</v>
      </c>
      <c r="E35" s="1">
        <v>45</v>
      </c>
      <c r="F35" s="1">
        <v>34</v>
      </c>
      <c r="G35" s="1">
        <v>136</v>
      </c>
      <c r="H35" s="1">
        <v>34</v>
      </c>
      <c r="I35" s="1">
        <v>16</v>
      </c>
      <c r="J35" s="1">
        <v>10</v>
      </c>
      <c r="K35" s="1">
        <v>960.8</v>
      </c>
      <c r="L35" s="1">
        <v>967.2</v>
      </c>
      <c r="M35" s="1">
        <v>6.4</v>
      </c>
      <c r="N35" s="1">
        <v>1544.8</v>
      </c>
      <c r="O35" s="1">
        <v>1550.6</v>
      </c>
      <c r="P35" s="1">
        <v>5.7999999999999501</v>
      </c>
      <c r="Q35" s="1">
        <v>100</v>
      </c>
      <c r="R35" s="1">
        <v>77</v>
      </c>
      <c r="S35" s="1">
        <v>86</v>
      </c>
      <c r="T35" s="1">
        <v>100</v>
      </c>
      <c r="U35" s="1">
        <v>100</v>
      </c>
      <c r="V35" s="1">
        <v>94</v>
      </c>
      <c r="W35" s="1">
        <v>99</v>
      </c>
      <c r="X35" s="1">
        <v>100</v>
      </c>
      <c r="Y35" s="1">
        <v>95</v>
      </c>
      <c r="Z35" s="1">
        <v>100</v>
      </c>
      <c r="AA35" s="1">
        <v>98.285714285714292</v>
      </c>
      <c r="AB35" s="1">
        <f xml:space="preserve"> SUM(C35:E35)</f>
        <v>270</v>
      </c>
      <c r="AC35" s="1">
        <f>SUM(F35:H35)</f>
        <v>204</v>
      </c>
      <c r="AD35" s="1">
        <f t="shared" si="0"/>
        <v>474</v>
      </c>
      <c r="AE35" s="1">
        <f>I35/MAX(1,AB35)</f>
        <v>5.9259259259259262E-2</v>
      </c>
      <c r="AF35" s="1">
        <f>J35/MAX(1,AC35)</f>
        <v>4.9019607843137254E-2</v>
      </c>
      <c r="AG35" s="1">
        <v>1</v>
      </c>
    </row>
    <row r="36" spans="1:33" x14ac:dyDescent="0.25">
      <c r="A36">
        <v>63</v>
      </c>
      <c r="B36" t="s">
        <v>73</v>
      </c>
      <c r="C36" s="1">
        <v>39</v>
      </c>
      <c r="D36" s="1">
        <v>140</v>
      </c>
      <c r="E36" s="1">
        <v>39</v>
      </c>
      <c r="F36" s="1">
        <v>38</v>
      </c>
      <c r="G36" s="1">
        <v>136</v>
      </c>
      <c r="H36" s="1">
        <v>42</v>
      </c>
      <c r="I36" s="1">
        <v>10</v>
      </c>
      <c r="J36" s="1">
        <v>4</v>
      </c>
      <c r="K36" s="1">
        <v>755.27</v>
      </c>
      <c r="L36" s="1">
        <v>803.2</v>
      </c>
      <c r="M36" s="1">
        <v>47.93</v>
      </c>
      <c r="N36" s="1">
        <v>417</v>
      </c>
      <c r="O36" s="1">
        <v>773.2</v>
      </c>
      <c r="P36" s="1">
        <v>356.2</v>
      </c>
      <c r="Q36" s="1">
        <v>100</v>
      </c>
      <c r="R36" s="1">
        <v>78</v>
      </c>
      <c r="S36" s="1">
        <v>69</v>
      </c>
      <c r="T36" s="1">
        <v>100</v>
      </c>
      <c r="U36" s="1">
        <v>100</v>
      </c>
      <c r="V36" s="1">
        <v>98</v>
      </c>
      <c r="W36" s="1">
        <v>82</v>
      </c>
      <c r="X36" s="1">
        <v>97</v>
      </c>
      <c r="Y36" s="1">
        <v>96</v>
      </c>
      <c r="Z36" s="1">
        <v>98</v>
      </c>
      <c r="AA36" s="1">
        <v>95.857142857142861</v>
      </c>
      <c r="AB36" s="1">
        <f xml:space="preserve"> SUM(C36:E36)</f>
        <v>218</v>
      </c>
      <c r="AC36" s="1">
        <f>SUM(F36:H36)</f>
        <v>216</v>
      </c>
      <c r="AD36" s="1">
        <f t="shared" si="0"/>
        <v>434</v>
      </c>
      <c r="AE36" s="1">
        <f>I36/MAX(1,AB36)</f>
        <v>4.5871559633027525E-2</v>
      </c>
      <c r="AF36" s="1">
        <f>J36/MAX(1,AC36)</f>
        <v>1.8518518518518517E-2</v>
      </c>
      <c r="AG36" s="1">
        <v>1</v>
      </c>
    </row>
    <row r="37" spans="1:33" x14ac:dyDescent="0.25">
      <c r="A37">
        <v>66</v>
      </c>
      <c r="B37" t="s">
        <v>76</v>
      </c>
      <c r="C37" s="1">
        <v>38</v>
      </c>
      <c r="D37" s="1">
        <v>152</v>
      </c>
      <c r="E37" s="1">
        <v>38</v>
      </c>
      <c r="F37" s="1">
        <v>38</v>
      </c>
      <c r="G37" s="1">
        <v>152</v>
      </c>
      <c r="H37" s="1">
        <v>38</v>
      </c>
      <c r="I37" s="1">
        <v>5</v>
      </c>
      <c r="J37" s="1">
        <v>3</v>
      </c>
      <c r="K37" s="1">
        <v>1677</v>
      </c>
      <c r="L37" s="1">
        <v>1755</v>
      </c>
      <c r="M37" s="1">
        <v>78</v>
      </c>
      <c r="N37" s="1">
        <v>1935.2</v>
      </c>
      <c r="O37" s="1">
        <v>1938</v>
      </c>
      <c r="P37" s="1">
        <v>2.7999999999999501</v>
      </c>
      <c r="Q37" s="1">
        <v>100</v>
      </c>
      <c r="R37" s="1">
        <v>29</v>
      </c>
      <c r="S37" s="1">
        <v>47</v>
      </c>
      <c r="T37" s="1">
        <v>35</v>
      </c>
      <c r="U37" s="1">
        <v>35</v>
      </c>
      <c r="V37" s="1">
        <v>97</v>
      </c>
      <c r="W37" s="1">
        <v>99</v>
      </c>
      <c r="X37" s="1">
        <v>80</v>
      </c>
      <c r="Y37" s="1">
        <v>49</v>
      </c>
      <c r="Z37" s="1">
        <v>42</v>
      </c>
      <c r="AA37" s="1">
        <v>62.428571428571431</v>
      </c>
      <c r="AB37" s="1">
        <f xml:space="preserve"> SUM(C37:E37)</f>
        <v>228</v>
      </c>
      <c r="AC37" s="1">
        <f>SUM(F37:H37)</f>
        <v>228</v>
      </c>
      <c r="AD37" s="1">
        <f t="shared" si="0"/>
        <v>456</v>
      </c>
      <c r="AE37" s="1">
        <f>I37/MAX(1,AB37)</f>
        <v>2.1929824561403508E-2</v>
      </c>
      <c r="AF37" s="1">
        <f>J37/MAX(1,AC37)</f>
        <v>1.3157894736842105E-2</v>
      </c>
      <c r="AG37" s="1">
        <v>1</v>
      </c>
    </row>
    <row r="38" spans="1:33" x14ac:dyDescent="0.25">
      <c r="A38">
        <v>69</v>
      </c>
      <c r="B38" t="s">
        <v>79</v>
      </c>
      <c r="C38" s="1">
        <v>46</v>
      </c>
      <c r="D38" s="1">
        <v>173</v>
      </c>
      <c r="E38" s="1">
        <v>48</v>
      </c>
      <c r="F38" s="1">
        <v>51</v>
      </c>
      <c r="G38" s="1">
        <v>204</v>
      </c>
      <c r="H38" s="1">
        <v>51</v>
      </c>
      <c r="I38" s="1">
        <v>26</v>
      </c>
      <c r="J38" s="1">
        <v>16</v>
      </c>
      <c r="K38" s="1">
        <v>864.2</v>
      </c>
      <c r="L38" s="1">
        <v>1203.67</v>
      </c>
      <c r="M38" s="1">
        <v>339.47</v>
      </c>
      <c r="N38" s="1">
        <v>505.2</v>
      </c>
      <c r="O38" s="1">
        <v>510.8</v>
      </c>
      <c r="P38" s="1">
        <v>5.6000000000000201</v>
      </c>
      <c r="Q38" s="1">
        <v>100</v>
      </c>
      <c r="R38" s="1">
        <v>73</v>
      </c>
      <c r="S38" s="1">
        <v>66</v>
      </c>
      <c r="T38" s="1">
        <v>70</v>
      </c>
      <c r="U38" s="1">
        <v>70</v>
      </c>
      <c r="V38" s="1">
        <v>99</v>
      </c>
      <c r="W38" s="1">
        <v>100</v>
      </c>
      <c r="X38" s="1">
        <v>98</v>
      </c>
      <c r="Y38" s="1">
        <v>100</v>
      </c>
      <c r="Z38" s="1">
        <v>98</v>
      </c>
      <c r="AA38" s="1">
        <v>90.714285714285708</v>
      </c>
      <c r="AB38" s="1">
        <f xml:space="preserve"> SUM(C38:E38)</f>
        <v>267</v>
      </c>
      <c r="AC38" s="1">
        <f>SUM(F38:H38)</f>
        <v>306</v>
      </c>
      <c r="AD38" s="1">
        <f t="shared" si="0"/>
        <v>573</v>
      </c>
      <c r="AE38" s="1">
        <f>I38/MAX(1,AB38)</f>
        <v>9.7378277153558054E-2</v>
      </c>
      <c r="AF38" s="1">
        <f>J38/MAX(1,AC38)</f>
        <v>5.2287581699346407E-2</v>
      </c>
      <c r="AG38" s="1">
        <v>1</v>
      </c>
    </row>
    <row r="39" spans="1:33" x14ac:dyDescent="0.25">
      <c r="A39">
        <v>70</v>
      </c>
      <c r="B39" t="s">
        <v>80</v>
      </c>
      <c r="C39" s="1">
        <v>41</v>
      </c>
      <c r="D39" s="1">
        <v>164</v>
      </c>
      <c r="E39" s="1">
        <v>43</v>
      </c>
      <c r="F39" s="1">
        <v>49</v>
      </c>
      <c r="G39" s="1">
        <v>196</v>
      </c>
      <c r="H39" s="1">
        <v>49</v>
      </c>
      <c r="I39" s="1">
        <v>11</v>
      </c>
      <c r="J39" s="1">
        <v>5</v>
      </c>
      <c r="K39" s="1">
        <v>2363.13</v>
      </c>
      <c r="L39" s="1">
        <v>2372.73</v>
      </c>
      <c r="M39" s="1">
        <v>9.5299999999999994</v>
      </c>
      <c r="N39" s="1">
        <v>858</v>
      </c>
      <c r="O39" s="1">
        <v>861.6</v>
      </c>
      <c r="P39" s="1">
        <v>3.6000000000000201</v>
      </c>
      <c r="Q39" s="1">
        <v>85</v>
      </c>
      <c r="R39" s="1">
        <v>68</v>
      </c>
      <c r="S39" s="1">
        <v>43</v>
      </c>
      <c r="T39" s="1">
        <v>85</v>
      </c>
      <c r="U39" s="1">
        <v>85</v>
      </c>
      <c r="V39" s="1">
        <v>99</v>
      </c>
      <c r="W39" s="1">
        <v>100</v>
      </c>
      <c r="X39" s="1">
        <v>67</v>
      </c>
      <c r="Y39" s="1">
        <v>81</v>
      </c>
      <c r="Z39" s="1">
        <v>99</v>
      </c>
      <c r="AA39" s="1">
        <v>88</v>
      </c>
      <c r="AB39" s="1">
        <f xml:space="preserve"> SUM(C39:E39)</f>
        <v>248</v>
      </c>
      <c r="AC39" s="1">
        <f>SUM(F39:H39)</f>
        <v>294</v>
      </c>
      <c r="AD39" s="1">
        <f t="shared" si="0"/>
        <v>542</v>
      </c>
      <c r="AE39" s="1">
        <f>I39/MAX(1,AB39)</f>
        <v>4.4354838709677422E-2</v>
      </c>
      <c r="AF39" s="1">
        <f>J39/MAX(1,AC39)</f>
        <v>1.7006802721088437E-2</v>
      </c>
      <c r="AG39" s="1">
        <v>1</v>
      </c>
    </row>
    <row r="40" spans="1:33" x14ac:dyDescent="0.25">
      <c r="A40">
        <v>71</v>
      </c>
      <c r="B40" t="s">
        <v>81</v>
      </c>
      <c r="C40" s="1">
        <v>46</v>
      </c>
      <c r="D40" s="1">
        <v>150</v>
      </c>
      <c r="E40" s="1">
        <v>39</v>
      </c>
      <c r="F40" s="1">
        <v>35</v>
      </c>
      <c r="G40" s="1">
        <v>134</v>
      </c>
      <c r="H40" s="1">
        <v>37</v>
      </c>
      <c r="I40" s="1">
        <v>11</v>
      </c>
      <c r="J40" s="1">
        <v>2</v>
      </c>
      <c r="K40" s="1">
        <v>2021.73</v>
      </c>
      <c r="L40" s="1">
        <v>2031.53</v>
      </c>
      <c r="M40" s="1">
        <v>9.73</v>
      </c>
      <c r="N40" s="1">
        <v>2284.9299999999998</v>
      </c>
      <c r="O40" s="1">
        <v>2289.13</v>
      </c>
      <c r="P40" s="1">
        <v>4.2000000000002702</v>
      </c>
      <c r="Q40" s="1">
        <v>100</v>
      </c>
      <c r="R40" s="1">
        <v>40</v>
      </c>
      <c r="S40" s="1">
        <v>58</v>
      </c>
      <c r="T40" s="1">
        <v>85</v>
      </c>
      <c r="U40" s="1">
        <v>85</v>
      </c>
      <c r="V40" s="1">
        <v>67</v>
      </c>
      <c r="W40" s="1">
        <v>51</v>
      </c>
      <c r="X40" s="1">
        <v>66</v>
      </c>
      <c r="Y40" s="1">
        <v>69</v>
      </c>
      <c r="Z40" s="1">
        <v>81</v>
      </c>
      <c r="AA40" s="1">
        <v>72</v>
      </c>
      <c r="AB40" s="1">
        <f xml:space="preserve"> SUM(C40:E40)</f>
        <v>235</v>
      </c>
      <c r="AC40" s="1">
        <f>SUM(F40:H40)</f>
        <v>206</v>
      </c>
      <c r="AD40" s="1">
        <f t="shared" si="0"/>
        <v>441</v>
      </c>
      <c r="AE40" s="1">
        <f>I40/MAX(1,AB40)</f>
        <v>4.6808510638297871E-2</v>
      </c>
      <c r="AF40" s="1">
        <f>J40/MAX(1,AC40)</f>
        <v>9.7087378640776691E-3</v>
      </c>
      <c r="AG40" s="1">
        <v>1</v>
      </c>
    </row>
    <row r="41" spans="1:33" x14ac:dyDescent="0.25">
      <c r="A41">
        <v>72</v>
      </c>
      <c r="B41" t="s">
        <v>82</v>
      </c>
      <c r="C41" s="1">
        <v>51</v>
      </c>
      <c r="D41" s="1">
        <v>204</v>
      </c>
      <c r="E41" s="1">
        <v>51</v>
      </c>
      <c r="F41" s="1">
        <v>51</v>
      </c>
      <c r="G41" s="1">
        <v>187</v>
      </c>
      <c r="H41" s="1">
        <v>48</v>
      </c>
      <c r="I41" s="1">
        <v>16</v>
      </c>
      <c r="J41" s="1">
        <v>4</v>
      </c>
      <c r="K41" s="1">
        <v>1154</v>
      </c>
      <c r="L41" s="1">
        <v>1169.8</v>
      </c>
      <c r="M41" s="1">
        <v>15.8</v>
      </c>
      <c r="N41" s="1">
        <v>2415.4</v>
      </c>
      <c r="O41" s="1">
        <v>2419</v>
      </c>
      <c r="P41" s="1">
        <v>3.5999999999999099</v>
      </c>
      <c r="Q41" s="1">
        <v>100</v>
      </c>
      <c r="R41" s="1">
        <v>84</v>
      </c>
      <c r="S41" s="1">
        <v>89</v>
      </c>
      <c r="T41" s="1">
        <v>85</v>
      </c>
      <c r="U41" s="1">
        <v>85</v>
      </c>
      <c r="V41" s="1">
        <v>99</v>
      </c>
      <c r="W41" s="1">
        <v>99</v>
      </c>
      <c r="X41" s="1">
        <v>100</v>
      </c>
      <c r="Y41" s="1">
        <v>98</v>
      </c>
      <c r="Z41" s="1">
        <v>98</v>
      </c>
      <c r="AA41" s="1">
        <v>94.857142857142861</v>
      </c>
      <c r="AB41" s="1">
        <f xml:space="preserve"> SUM(C41:E41)</f>
        <v>306</v>
      </c>
      <c r="AC41" s="1">
        <f>SUM(F41:H41)</f>
        <v>286</v>
      </c>
      <c r="AD41" s="1">
        <f t="shared" si="0"/>
        <v>592</v>
      </c>
      <c r="AE41" s="1">
        <f>I41/MAX(1,AB41)</f>
        <v>5.2287581699346407E-2</v>
      </c>
      <c r="AF41" s="1">
        <f>J41/MAX(1,AC41)</f>
        <v>1.3986013986013986E-2</v>
      </c>
      <c r="AG41" s="1">
        <v>1</v>
      </c>
    </row>
    <row r="42" spans="1:33" x14ac:dyDescent="0.25">
      <c r="A42">
        <v>73</v>
      </c>
      <c r="B42" t="s">
        <v>83</v>
      </c>
      <c r="C42" s="1">
        <v>50</v>
      </c>
      <c r="D42" s="1">
        <v>200</v>
      </c>
      <c r="E42" s="1">
        <v>43</v>
      </c>
      <c r="F42" s="1">
        <v>50</v>
      </c>
      <c r="G42" s="1">
        <v>200</v>
      </c>
      <c r="H42" s="1">
        <v>50</v>
      </c>
      <c r="I42" s="1">
        <v>16</v>
      </c>
      <c r="J42" s="1">
        <v>9</v>
      </c>
      <c r="K42" s="1">
        <v>1040.5999999999999</v>
      </c>
      <c r="L42" s="1">
        <v>1071.4000000000001</v>
      </c>
      <c r="M42" s="1">
        <v>30.6</v>
      </c>
      <c r="N42" s="1">
        <v>2822.2</v>
      </c>
      <c r="O42" s="1">
        <v>2837.2</v>
      </c>
      <c r="P42" s="1">
        <v>15</v>
      </c>
      <c r="Q42" s="1">
        <v>100</v>
      </c>
      <c r="R42" s="1">
        <v>52</v>
      </c>
      <c r="S42" s="1">
        <v>61</v>
      </c>
      <c r="T42" s="1">
        <v>65</v>
      </c>
      <c r="U42" s="1">
        <v>65</v>
      </c>
      <c r="V42" s="1">
        <v>100</v>
      </c>
      <c r="W42" s="1">
        <v>100</v>
      </c>
      <c r="X42" s="1">
        <v>99</v>
      </c>
      <c r="Y42" s="1">
        <v>97</v>
      </c>
      <c r="Z42" s="1">
        <v>97</v>
      </c>
      <c r="AA42" s="1">
        <v>89</v>
      </c>
      <c r="AB42" s="1">
        <f xml:space="preserve"> SUM(C42:E42)</f>
        <v>293</v>
      </c>
      <c r="AC42" s="1">
        <f>SUM(F42:H42)</f>
        <v>300</v>
      </c>
      <c r="AD42" s="1">
        <f t="shared" si="0"/>
        <v>593</v>
      </c>
      <c r="AE42" s="1">
        <f>I42/MAX(1,AB42)</f>
        <v>5.4607508532423209E-2</v>
      </c>
      <c r="AF42" s="1">
        <f>J42/MAX(1,AC42)</f>
        <v>0.03</v>
      </c>
      <c r="AG42" s="1">
        <v>1</v>
      </c>
    </row>
    <row r="43" spans="1:33" x14ac:dyDescent="0.25">
      <c r="A43">
        <v>1</v>
      </c>
      <c r="B43" t="s">
        <v>11</v>
      </c>
      <c r="C43" s="1">
        <v>20</v>
      </c>
      <c r="D43" s="1">
        <v>80</v>
      </c>
      <c r="E43" s="1">
        <v>20</v>
      </c>
      <c r="F43" s="1">
        <v>9</v>
      </c>
      <c r="G43" s="1">
        <v>36</v>
      </c>
      <c r="H43" s="1">
        <v>9</v>
      </c>
      <c r="I43" s="1">
        <v>0</v>
      </c>
      <c r="J43" s="1">
        <v>0</v>
      </c>
      <c r="K43" s="1">
        <v>592</v>
      </c>
      <c r="L43" s="1">
        <v>595.4</v>
      </c>
      <c r="M43" s="1">
        <v>3.4</v>
      </c>
      <c r="N43" s="1">
        <v>2132.5</v>
      </c>
      <c r="O43" s="1">
        <v>2135.5</v>
      </c>
      <c r="P43" s="1">
        <v>3</v>
      </c>
      <c r="Q43" s="1">
        <v>95</v>
      </c>
      <c r="R43" s="1">
        <v>0</v>
      </c>
      <c r="S43" s="1">
        <v>0</v>
      </c>
      <c r="T43" s="1">
        <v>92</v>
      </c>
      <c r="U43" s="1">
        <v>92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26.285714285714285</v>
      </c>
      <c r="AB43" s="1">
        <f xml:space="preserve"> SUM(C43:E43)</f>
        <v>120</v>
      </c>
      <c r="AC43" s="1">
        <f>SUM(F43:H43)</f>
        <v>54</v>
      </c>
      <c r="AD43" s="1">
        <f t="shared" si="0"/>
        <v>174</v>
      </c>
      <c r="AE43" s="1">
        <f>I43/MAX(1,AB43)</f>
        <v>0</v>
      </c>
      <c r="AF43" s="1">
        <f>J43/MAX(1,AC43)</f>
        <v>0</v>
      </c>
      <c r="AG43" s="1">
        <v>2</v>
      </c>
    </row>
    <row r="44" spans="1:33" x14ac:dyDescent="0.25">
      <c r="A44">
        <v>2</v>
      </c>
      <c r="B44" t="s">
        <v>12</v>
      </c>
      <c r="C44" s="1">
        <v>29</v>
      </c>
      <c r="D44" s="1">
        <v>54</v>
      </c>
      <c r="E44" s="1">
        <v>14</v>
      </c>
      <c r="F44" s="1">
        <v>13</v>
      </c>
      <c r="G44" s="1">
        <v>44</v>
      </c>
      <c r="H44" s="1">
        <v>16</v>
      </c>
      <c r="I44" s="1">
        <v>5</v>
      </c>
      <c r="J44" s="1">
        <v>3</v>
      </c>
      <c r="K44" s="1">
        <v>534.6</v>
      </c>
      <c r="L44" s="1">
        <v>540.92999999999995</v>
      </c>
      <c r="M44" s="1">
        <v>6.33</v>
      </c>
      <c r="N44" s="1">
        <v>18.8</v>
      </c>
      <c r="O44" s="1">
        <v>19.73</v>
      </c>
      <c r="P44" s="1">
        <v>0.93</v>
      </c>
      <c r="Q44" s="1">
        <v>85</v>
      </c>
      <c r="R44" s="1">
        <v>11</v>
      </c>
      <c r="S44" s="1">
        <v>0</v>
      </c>
      <c r="T44" s="1">
        <v>55</v>
      </c>
      <c r="U44" s="1">
        <v>55</v>
      </c>
      <c r="V44" s="1">
        <v>98</v>
      </c>
      <c r="W44" s="1">
        <v>69</v>
      </c>
      <c r="X44" s="1">
        <v>77</v>
      </c>
      <c r="Y44" s="1">
        <v>67</v>
      </c>
      <c r="Z44" s="1">
        <v>0</v>
      </c>
      <c r="AA44" s="1">
        <v>60.142857142857146</v>
      </c>
      <c r="AB44" s="1">
        <f xml:space="preserve"> SUM(C44:E44)</f>
        <v>97</v>
      </c>
      <c r="AC44" s="1">
        <f>SUM(F44:H44)</f>
        <v>73</v>
      </c>
      <c r="AD44" s="1">
        <f t="shared" si="0"/>
        <v>170</v>
      </c>
      <c r="AE44" s="1">
        <f>I44/MAX(1,AB44)</f>
        <v>5.1546391752577317E-2</v>
      </c>
      <c r="AF44" s="1">
        <f>J44/MAX(1,AC44)</f>
        <v>4.1095890410958902E-2</v>
      </c>
      <c r="AG44" s="1">
        <v>2</v>
      </c>
    </row>
    <row r="45" spans="1:33" x14ac:dyDescent="0.25">
      <c r="A45">
        <v>3</v>
      </c>
      <c r="B45" t="s">
        <v>13</v>
      </c>
      <c r="C45" s="1">
        <v>0</v>
      </c>
      <c r="D45" s="1">
        <v>0</v>
      </c>
      <c r="E45" s="1">
        <v>4</v>
      </c>
      <c r="F45" s="1">
        <v>4</v>
      </c>
      <c r="G45" s="1">
        <v>3</v>
      </c>
      <c r="H45" s="1">
        <v>4</v>
      </c>
      <c r="I45" s="1">
        <v>0</v>
      </c>
      <c r="J45" s="1">
        <v>0</v>
      </c>
      <c r="K45" s="1">
        <v>1188.2</v>
      </c>
      <c r="L45" s="1">
        <v>1672.6</v>
      </c>
      <c r="M45" s="1">
        <v>484.4</v>
      </c>
      <c r="N45" s="1">
        <v>480.2</v>
      </c>
      <c r="O45" s="1">
        <v>481.2</v>
      </c>
      <c r="P45" s="1">
        <v>1</v>
      </c>
      <c r="Q45" s="1">
        <v>30</v>
      </c>
      <c r="R45" s="1">
        <v>73</v>
      </c>
      <c r="S45" s="1">
        <v>62</v>
      </c>
      <c r="T45" s="1">
        <v>71</v>
      </c>
      <c r="U45" s="1">
        <v>71</v>
      </c>
      <c r="V45" s="1">
        <v>64</v>
      </c>
      <c r="W45" s="1">
        <v>48</v>
      </c>
      <c r="X45" s="1">
        <v>71</v>
      </c>
      <c r="Y45" s="1">
        <v>78</v>
      </c>
      <c r="Z45" s="1">
        <v>32</v>
      </c>
      <c r="AA45" s="1">
        <v>62.142857142857146</v>
      </c>
      <c r="AB45" s="1">
        <f xml:space="preserve"> SUM(C45:E45)</f>
        <v>4</v>
      </c>
      <c r="AC45" s="1">
        <f>SUM(F45:H45)</f>
        <v>11</v>
      </c>
      <c r="AD45" s="1">
        <f t="shared" si="0"/>
        <v>15</v>
      </c>
      <c r="AE45" s="1">
        <f>I45/MAX(1,AB45)</f>
        <v>0</v>
      </c>
      <c r="AF45" s="1">
        <f>J45/MAX(1,AC45)</f>
        <v>0</v>
      </c>
      <c r="AG45" s="1">
        <v>2</v>
      </c>
    </row>
    <row r="46" spans="1:33" x14ac:dyDescent="0.25">
      <c r="A46">
        <v>5</v>
      </c>
      <c r="B46" t="s">
        <v>15</v>
      </c>
      <c r="C46" s="1">
        <v>31</v>
      </c>
      <c r="D46" s="1">
        <v>3</v>
      </c>
      <c r="E46" s="1">
        <v>0</v>
      </c>
      <c r="F46" s="1">
        <v>11</v>
      </c>
      <c r="G46" s="1">
        <v>0</v>
      </c>
      <c r="H46" s="1">
        <v>0</v>
      </c>
      <c r="I46" s="1">
        <v>4</v>
      </c>
      <c r="J46" s="1">
        <v>3</v>
      </c>
      <c r="K46" s="1">
        <v>327</v>
      </c>
      <c r="L46" s="1">
        <v>330</v>
      </c>
      <c r="M46" s="1">
        <v>2.93</v>
      </c>
      <c r="N46" s="1">
        <v>874.2</v>
      </c>
      <c r="O46" s="1">
        <v>879.67</v>
      </c>
      <c r="P46" s="1">
        <v>5.46999999999991</v>
      </c>
      <c r="Q46" s="1">
        <v>75</v>
      </c>
      <c r="R46" s="1">
        <v>73</v>
      </c>
      <c r="S46" s="1">
        <v>54</v>
      </c>
      <c r="T46" s="1">
        <v>100</v>
      </c>
      <c r="U46" s="1">
        <v>100</v>
      </c>
      <c r="V46" s="1">
        <v>60</v>
      </c>
      <c r="W46" s="1">
        <v>68</v>
      </c>
      <c r="X46" s="1">
        <v>33</v>
      </c>
      <c r="Y46" s="1">
        <v>65</v>
      </c>
      <c r="Z46" s="1">
        <v>0</v>
      </c>
      <c r="AA46" s="1">
        <v>60.857142857142854</v>
      </c>
      <c r="AB46" s="1">
        <f xml:space="preserve"> SUM(C46:E46)</f>
        <v>34</v>
      </c>
      <c r="AC46" s="1">
        <f>SUM(F46:H46)</f>
        <v>11</v>
      </c>
      <c r="AD46" s="1">
        <f t="shared" si="0"/>
        <v>45</v>
      </c>
      <c r="AE46" s="1">
        <f>I46/MAX(1,AB46)</f>
        <v>0.11764705882352941</v>
      </c>
      <c r="AF46" s="1">
        <f>J46/MAX(1,AC46)</f>
        <v>0.27272727272727271</v>
      </c>
      <c r="AG46" s="1">
        <v>2</v>
      </c>
    </row>
    <row r="47" spans="1:33" x14ac:dyDescent="0.25">
      <c r="A47">
        <v>6</v>
      </c>
      <c r="B47" t="s">
        <v>16</v>
      </c>
      <c r="C47" s="1">
        <v>43</v>
      </c>
      <c r="D47" s="1">
        <v>132</v>
      </c>
      <c r="E47" s="1">
        <v>36</v>
      </c>
      <c r="F47" s="1">
        <v>16</v>
      </c>
      <c r="G47" s="1">
        <v>64</v>
      </c>
      <c r="H47" s="1">
        <v>16</v>
      </c>
      <c r="I47" s="1">
        <v>10</v>
      </c>
      <c r="J47" s="1">
        <v>3</v>
      </c>
      <c r="K47" s="1">
        <v>575.73</v>
      </c>
      <c r="L47" s="1">
        <v>628.4</v>
      </c>
      <c r="M47" s="1">
        <v>52.6</v>
      </c>
      <c r="N47" s="1">
        <v>157.87</v>
      </c>
      <c r="O47" s="1">
        <v>158.47</v>
      </c>
      <c r="P47" s="1">
        <v>0.59999999999999398</v>
      </c>
      <c r="Q47" s="1">
        <v>100</v>
      </c>
      <c r="R47" s="1">
        <v>35</v>
      </c>
      <c r="S47" s="1">
        <v>0</v>
      </c>
      <c r="T47" s="1">
        <v>63</v>
      </c>
      <c r="U47" s="1">
        <v>63</v>
      </c>
      <c r="V47" s="1">
        <v>100</v>
      </c>
      <c r="W47" s="1">
        <v>99</v>
      </c>
      <c r="X47" s="1">
        <v>0</v>
      </c>
      <c r="Y47" s="1">
        <v>0</v>
      </c>
      <c r="Z47" s="1">
        <v>0</v>
      </c>
      <c r="AA47" s="1">
        <v>46.428571428571431</v>
      </c>
      <c r="AB47" s="1">
        <f xml:space="preserve"> SUM(C47:E47)</f>
        <v>211</v>
      </c>
      <c r="AC47" s="1">
        <f>SUM(F47:H47)</f>
        <v>96</v>
      </c>
      <c r="AD47" s="1">
        <f t="shared" si="0"/>
        <v>307</v>
      </c>
      <c r="AE47" s="1">
        <f>I47/MAX(1,AB47)</f>
        <v>4.7393364928909949E-2</v>
      </c>
      <c r="AF47" s="1">
        <f>J47/MAX(1,AC47)</f>
        <v>3.125E-2</v>
      </c>
      <c r="AG47" s="1">
        <v>2</v>
      </c>
    </row>
    <row r="48" spans="1:33" x14ac:dyDescent="0.25">
      <c r="A48">
        <v>8</v>
      </c>
      <c r="B48" t="s">
        <v>18</v>
      </c>
      <c r="C48" s="1">
        <v>33</v>
      </c>
      <c r="D48" s="1">
        <v>109</v>
      </c>
      <c r="E48" s="1">
        <v>33</v>
      </c>
      <c r="F48" s="1">
        <v>23</v>
      </c>
      <c r="G48" s="1">
        <v>92</v>
      </c>
      <c r="H48" s="1">
        <v>27</v>
      </c>
      <c r="I48" s="1">
        <v>10</v>
      </c>
      <c r="J48" s="1">
        <v>6</v>
      </c>
      <c r="K48" s="1">
        <v>393.07</v>
      </c>
      <c r="L48" s="1">
        <v>396.27</v>
      </c>
      <c r="M48" s="1">
        <v>2.87</v>
      </c>
      <c r="N48" s="1">
        <v>798.8</v>
      </c>
      <c r="O48" s="1">
        <v>799.4</v>
      </c>
      <c r="P48" s="1">
        <v>0.60000000000002296</v>
      </c>
      <c r="Q48" s="1">
        <v>95</v>
      </c>
      <c r="R48" s="1">
        <v>100</v>
      </c>
      <c r="S48" s="1">
        <v>85</v>
      </c>
      <c r="T48" s="1">
        <v>48</v>
      </c>
      <c r="U48" s="1">
        <v>48</v>
      </c>
      <c r="V48" s="1">
        <v>100</v>
      </c>
      <c r="W48" s="1">
        <v>100</v>
      </c>
      <c r="X48" s="1">
        <v>85</v>
      </c>
      <c r="Y48" s="1">
        <v>97</v>
      </c>
      <c r="Z48" s="1">
        <v>65</v>
      </c>
      <c r="AA48" s="1">
        <v>77.571428571428569</v>
      </c>
      <c r="AB48" s="1">
        <f xml:space="preserve"> SUM(C48:E48)</f>
        <v>175</v>
      </c>
      <c r="AC48" s="1">
        <f>SUM(F48:H48)</f>
        <v>142</v>
      </c>
      <c r="AD48" s="1">
        <f t="shared" si="0"/>
        <v>317</v>
      </c>
      <c r="AE48" s="1">
        <f>I48/MAX(1,AB48)</f>
        <v>5.7142857142857141E-2</v>
      </c>
      <c r="AF48" s="1">
        <f>J48/MAX(1,AC48)</f>
        <v>4.2253521126760563E-2</v>
      </c>
      <c r="AG48" s="1">
        <v>2</v>
      </c>
    </row>
    <row r="49" spans="1:33" x14ac:dyDescent="0.25">
      <c r="A49">
        <v>11</v>
      </c>
      <c r="B49" t="s">
        <v>21</v>
      </c>
      <c r="C49" s="1">
        <v>7</v>
      </c>
      <c r="D49" s="1">
        <v>16</v>
      </c>
      <c r="E49" s="1">
        <v>4</v>
      </c>
      <c r="F49" s="1">
        <v>17</v>
      </c>
      <c r="G49" s="1">
        <v>51</v>
      </c>
      <c r="H49" s="1">
        <v>12</v>
      </c>
      <c r="I49" s="1">
        <v>6</v>
      </c>
      <c r="J49" s="1">
        <v>8</v>
      </c>
      <c r="K49" s="1">
        <v>5</v>
      </c>
      <c r="L49" s="1">
        <v>10</v>
      </c>
      <c r="M49" s="1">
        <v>5</v>
      </c>
      <c r="N49" s="1">
        <v>562.6</v>
      </c>
      <c r="O49" s="1">
        <v>564.4</v>
      </c>
      <c r="P49" s="1">
        <v>1.7999999999999501</v>
      </c>
      <c r="Q49" s="1">
        <v>80</v>
      </c>
      <c r="R49" s="1">
        <v>94</v>
      </c>
      <c r="S49" s="1">
        <v>67</v>
      </c>
      <c r="T49" s="1">
        <v>85</v>
      </c>
      <c r="U49" s="1">
        <v>85</v>
      </c>
      <c r="V49" s="1">
        <v>97</v>
      </c>
      <c r="W49" s="1">
        <v>88</v>
      </c>
      <c r="X49" s="1">
        <v>83</v>
      </c>
      <c r="Y49" s="1">
        <v>69</v>
      </c>
      <c r="Z49" s="1">
        <v>97</v>
      </c>
      <c r="AA49" s="1">
        <v>86.285714285714292</v>
      </c>
      <c r="AB49" s="1">
        <f xml:space="preserve"> SUM(C49:E49)</f>
        <v>27</v>
      </c>
      <c r="AC49" s="1">
        <f>SUM(F49:H49)</f>
        <v>80</v>
      </c>
      <c r="AD49" s="1">
        <f t="shared" si="0"/>
        <v>107</v>
      </c>
      <c r="AE49" s="1">
        <f>I49/MAX(1,AB49)</f>
        <v>0.22222222222222221</v>
      </c>
      <c r="AF49" s="1">
        <f>J49/MAX(1,AC49)</f>
        <v>0.1</v>
      </c>
      <c r="AG49" s="1">
        <v>2</v>
      </c>
    </row>
    <row r="50" spans="1:33" x14ac:dyDescent="0.25">
      <c r="A50">
        <v>13</v>
      </c>
      <c r="B50" t="s">
        <v>23</v>
      </c>
      <c r="C50" s="1">
        <v>27</v>
      </c>
      <c r="D50" s="1">
        <v>25</v>
      </c>
      <c r="E50" s="1">
        <v>10</v>
      </c>
      <c r="F50" s="1">
        <v>18</v>
      </c>
      <c r="G50" s="1">
        <v>18</v>
      </c>
      <c r="H50" s="1">
        <v>10</v>
      </c>
      <c r="I50" s="1">
        <v>6</v>
      </c>
      <c r="J50" s="1">
        <v>5</v>
      </c>
      <c r="K50" s="1">
        <v>382.47</v>
      </c>
      <c r="L50" s="1">
        <v>386.93</v>
      </c>
      <c r="M50" s="1">
        <v>4.2</v>
      </c>
      <c r="N50" s="1">
        <v>1501.2</v>
      </c>
      <c r="O50" s="1">
        <v>1504.4</v>
      </c>
      <c r="P50" s="1">
        <v>3.2000000000000499</v>
      </c>
      <c r="Q50" s="1">
        <v>100</v>
      </c>
      <c r="R50" s="1">
        <v>63</v>
      </c>
      <c r="S50" s="1">
        <v>66</v>
      </c>
      <c r="T50" s="1">
        <v>85</v>
      </c>
      <c r="U50" s="1">
        <v>85</v>
      </c>
      <c r="V50" s="1">
        <v>97</v>
      </c>
      <c r="W50" s="1">
        <v>100</v>
      </c>
      <c r="X50" s="1">
        <v>100</v>
      </c>
      <c r="Y50" s="1">
        <v>82</v>
      </c>
      <c r="Z50" s="1">
        <v>82</v>
      </c>
      <c r="AA50" s="1">
        <v>90.142857142857139</v>
      </c>
      <c r="AB50" s="1">
        <f xml:space="preserve"> SUM(C50:E50)</f>
        <v>62</v>
      </c>
      <c r="AC50" s="1">
        <f>SUM(F50:H50)</f>
        <v>46</v>
      </c>
      <c r="AD50" s="1">
        <f t="shared" si="0"/>
        <v>108</v>
      </c>
      <c r="AE50" s="1">
        <f>I50/MAX(1,AB50)</f>
        <v>9.6774193548387094E-2</v>
      </c>
      <c r="AF50" s="1">
        <f>J50/MAX(1,AC50)</f>
        <v>0.10869565217391304</v>
      </c>
      <c r="AG50" s="1">
        <v>2</v>
      </c>
    </row>
    <row r="51" spans="1:33" x14ac:dyDescent="0.25">
      <c r="A51">
        <v>14</v>
      </c>
      <c r="B51" t="s">
        <v>24</v>
      </c>
      <c r="C51" s="1">
        <v>17</v>
      </c>
      <c r="D51" s="1">
        <v>71</v>
      </c>
      <c r="E51" s="1">
        <v>20</v>
      </c>
      <c r="F51" s="1">
        <v>7</v>
      </c>
      <c r="G51" s="1">
        <v>28</v>
      </c>
      <c r="H51" s="1">
        <v>7</v>
      </c>
      <c r="I51" s="1">
        <v>0</v>
      </c>
      <c r="J51" s="1">
        <v>0</v>
      </c>
      <c r="K51" s="1">
        <v>497.2</v>
      </c>
      <c r="L51" s="1">
        <v>500.2</v>
      </c>
      <c r="M51" s="1">
        <v>3</v>
      </c>
      <c r="N51" s="1">
        <v>1501.2</v>
      </c>
      <c r="O51" s="1">
        <v>1504.4</v>
      </c>
      <c r="P51" s="1">
        <v>3.2000000000000499</v>
      </c>
      <c r="Q51" s="1">
        <v>75</v>
      </c>
      <c r="R51" s="1">
        <v>49</v>
      </c>
      <c r="S51" s="1">
        <v>31</v>
      </c>
      <c r="T51" s="1">
        <v>78</v>
      </c>
      <c r="U51" s="1">
        <v>78</v>
      </c>
      <c r="V51" s="1">
        <v>32</v>
      </c>
      <c r="W51" s="1">
        <v>25</v>
      </c>
      <c r="X51" s="1">
        <v>61</v>
      </c>
      <c r="Y51" s="1">
        <v>59</v>
      </c>
      <c r="Z51" s="1">
        <v>0</v>
      </c>
      <c r="AA51" s="1">
        <v>47.571428571428569</v>
      </c>
      <c r="AB51" s="1">
        <f xml:space="preserve"> SUM(C51:E51)</f>
        <v>108</v>
      </c>
      <c r="AC51" s="1">
        <f>SUM(F51:H51)</f>
        <v>42</v>
      </c>
      <c r="AD51" s="1">
        <f t="shared" si="0"/>
        <v>150</v>
      </c>
      <c r="AE51" s="1">
        <f>I51/MAX(1,AB51)</f>
        <v>0</v>
      </c>
      <c r="AF51" s="1">
        <f>J51/MAX(1,AC51)</f>
        <v>0</v>
      </c>
      <c r="AG51" s="1">
        <v>2</v>
      </c>
    </row>
    <row r="52" spans="1:33" x14ac:dyDescent="0.25">
      <c r="A52">
        <v>22</v>
      </c>
      <c r="B52" t="s">
        <v>32</v>
      </c>
      <c r="C52" s="1">
        <v>24</v>
      </c>
      <c r="D52" s="1">
        <v>74</v>
      </c>
      <c r="E52" s="1">
        <v>20</v>
      </c>
      <c r="F52" s="1">
        <v>2</v>
      </c>
      <c r="G52" s="1">
        <v>2</v>
      </c>
      <c r="H52" s="1">
        <v>2</v>
      </c>
      <c r="I52" s="1">
        <v>11</v>
      </c>
      <c r="J52" s="1">
        <v>3</v>
      </c>
      <c r="K52" s="1">
        <v>198</v>
      </c>
      <c r="L52" s="1">
        <v>231.47</v>
      </c>
      <c r="M52" s="1">
        <v>33.130000000000003</v>
      </c>
      <c r="N52" s="1">
        <v>807.4</v>
      </c>
      <c r="O52" s="1">
        <v>812.6</v>
      </c>
      <c r="P52" s="1">
        <v>5.2000000000000499</v>
      </c>
      <c r="Q52" s="1">
        <v>50</v>
      </c>
      <c r="R52" s="1">
        <v>70</v>
      </c>
      <c r="S52" s="1">
        <v>60</v>
      </c>
      <c r="T52" s="1">
        <v>78</v>
      </c>
      <c r="U52" s="1">
        <v>78</v>
      </c>
      <c r="V52" s="1">
        <v>99</v>
      </c>
      <c r="W52" s="1">
        <v>82</v>
      </c>
      <c r="X52" s="1">
        <v>66</v>
      </c>
      <c r="Y52" s="1">
        <v>49</v>
      </c>
      <c r="Z52" s="1">
        <v>15</v>
      </c>
      <c r="AA52" s="1">
        <v>66.714285714285708</v>
      </c>
      <c r="AB52" s="1">
        <f xml:space="preserve"> SUM(C52:E52)</f>
        <v>118</v>
      </c>
      <c r="AC52" s="1">
        <f>SUM(F52:H52)</f>
        <v>6</v>
      </c>
      <c r="AD52" s="1">
        <f t="shared" si="0"/>
        <v>124</v>
      </c>
      <c r="AE52" s="1">
        <f>I52/MAX(1,AB52)</f>
        <v>9.3220338983050849E-2</v>
      </c>
      <c r="AF52" s="1">
        <f>J52/MAX(1,AC52)</f>
        <v>0.5</v>
      </c>
      <c r="AG52" s="1">
        <v>2</v>
      </c>
    </row>
    <row r="53" spans="1:33" x14ac:dyDescent="0.25">
      <c r="A53">
        <v>23</v>
      </c>
      <c r="B53" t="s">
        <v>33</v>
      </c>
      <c r="C53" s="1">
        <v>32</v>
      </c>
      <c r="D53" s="1">
        <v>89</v>
      </c>
      <c r="E53" s="1">
        <v>26</v>
      </c>
      <c r="F53" s="1">
        <v>32</v>
      </c>
      <c r="G53" s="1">
        <v>89</v>
      </c>
      <c r="H53" s="1">
        <v>26</v>
      </c>
      <c r="I53" s="1">
        <v>17</v>
      </c>
      <c r="J53" s="1">
        <v>5</v>
      </c>
      <c r="K53" s="1">
        <v>714.2</v>
      </c>
      <c r="L53" s="1">
        <v>724.67</v>
      </c>
      <c r="M53" s="1">
        <v>10.4</v>
      </c>
      <c r="N53" s="1">
        <v>794.33</v>
      </c>
      <c r="O53" s="1">
        <v>796.27</v>
      </c>
      <c r="P53" s="1">
        <v>1.93999999999994</v>
      </c>
      <c r="Q53" s="1">
        <v>90</v>
      </c>
      <c r="R53" s="1">
        <v>49</v>
      </c>
      <c r="S53" s="1">
        <v>58</v>
      </c>
      <c r="T53" s="1">
        <v>85</v>
      </c>
      <c r="U53" s="1">
        <v>85</v>
      </c>
      <c r="V53" s="1">
        <v>100</v>
      </c>
      <c r="W53" s="1">
        <v>30</v>
      </c>
      <c r="X53" s="1">
        <v>61</v>
      </c>
      <c r="Y53" s="1">
        <v>94</v>
      </c>
      <c r="Z53" s="1">
        <v>99</v>
      </c>
      <c r="AA53" s="1">
        <v>79.142857142857139</v>
      </c>
      <c r="AB53" s="1">
        <f xml:space="preserve"> SUM(C53:E53)</f>
        <v>147</v>
      </c>
      <c r="AC53" s="1">
        <f>SUM(F53:H53)</f>
        <v>147</v>
      </c>
      <c r="AD53" s="1">
        <f t="shared" si="0"/>
        <v>294</v>
      </c>
      <c r="AE53" s="1">
        <f>I53/MAX(1,AB53)</f>
        <v>0.11564625850340136</v>
      </c>
      <c r="AF53" s="1">
        <f>J53/MAX(1,AC53)</f>
        <v>3.4013605442176874E-2</v>
      </c>
      <c r="AG53" s="1">
        <v>2</v>
      </c>
    </row>
    <row r="54" spans="1:33" x14ac:dyDescent="0.25">
      <c r="A54">
        <v>25</v>
      </c>
      <c r="B54" t="s">
        <v>35</v>
      </c>
      <c r="C54" s="1">
        <v>13</v>
      </c>
      <c r="D54" s="1">
        <v>20</v>
      </c>
      <c r="E54" s="1">
        <v>8</v>
      </c>
      <c r="F54" s="1">
        <v>8</v>
      </c>
      <c r="G54" s="1">
        <v>32</v>
      </c>
      <c r="H54" s="1">
        <v>8</v>
      </c>
      <c r="I54" s="1">
        <v>4</v>
      </c>
      <c r="J54" s="1">
        <v>0</v>
      </c>
      <c r="K54" s="1">
        <v>164.93</v>
      </c>
      <c r="L54" s="1">
        <v>165.93</v>
      </c>
      <c r="M54" s="1">
        <v>0.8</v>
      </c>
      <c r="N54" s="1">
        <v>589</v>
      </c>
      <c r="O54" s="1">
        <v>591.20000000000005</v>
      </c>
      <c r="P54" s="1">
        <v>2.2000000000000499</v>
      </c>
      <c r="Q54" s="1">
        <v>20</v>
      </c>
      <c r="R54" s="1">
        <v>67</v>
      </c>
      <c r="S54" s="1">
        <v>56</v>
      </c>
      <c r="T54" s="1">
        <v>23</v>
      </c>
      <c r="U54" s="1">
        <v>23</v>
      </c>
      <c r="V54" s="1">
        <v>95</v>
      </c>
      <c r="W54" s="1">
        <v>67</v>
      </c>
      <c r="X54" s="1">
        <v>93</v>
      </c>
      <c r="Y54" s="1">
        <v>65</v>
      </c>
      <c r="Z54" s="1">
        <v>98</v>
      </c>
      <c r="AA54" s="1">
        <v>66.285714285714292</v>
      </c>
      <c r="AB54" s="1">
        <f xml:space="preserve"> SUM(C54:E54)</f>
        <v>41</v>
      </c>
      <c r="AC54" s="1">
        <f>SUM(F54:H54)</f>
        <v>48</v>
      </c>
      <c r="AD54" s="1">
        <f t="shared" si="0"/>
        <v>89</v>
      </c>
      <c r="AE54" s="1">
        <f>I54/MAX(1,AB54)</f>
        <v>9.7560975609756101E-2</v>
      </c>
      <c r="AF54" s="1">
        <f>J54/MAX(1,AC54)</f>
        <v>0</v>
      </c>
      <c r="AG54" s="1">
        <v>2</v>
      </c>
    </row>
    <row r="55" spans="1:33" x14ac:dyDescent="0.25">
      <c r="A55">
        <v>26</v>
      </c>
      <c r="B55" t="s">
        <v>36</v>
      </c>
      <c r="C55" s="1">
        <v>30</v>
      </c>
      <c r="D55" s="1">
        <v>120</v>
      </c>
      <c r="E55" s="1">
        <v>30</v>
      </c>
      <c r="F55" s="1">
        <v>0</v>
      </c>
      <c r="G55" s="1">
        <v>0</v>
      </c>
      <c r="H55" s="1">
        <v>0</v>
      </c>
      <c r="I55" s="1">
        <v>6</v>
      </c>
      <c r="J55" s="1">
        <v>0</v>
      </c>
      <c r="K55" s="1">
        <v>1088.8</v>
      </c>
      <c r="L55" s="1">
        <v>1410.8</v>
      </c>
      <c r="M55" s="1">
        <v>321.8</v>
      </c>
      <c r="N55" s="1">
        <v>135.80000000000001</v>
      </c>
      <c r="O55" s="1">
        <v>136.19999999999999</v>
      </c>
      <c r="P55" s="1">
        <v>0.39999999999997699</v>
      </c>
      <c r="Q55" s="1">
        <v>55.000000000000007</v>
      </c>
      <c r="R55" s="1">
        <v>92</v>
      </c>
      <c r="S55" s="1">
        <v>84</v>
      </c>
      <c r="T55" s="1">
        <v>78</v>
      </c>
      <c r="U55" s="1">
        <v>78</v>
      </c>
      <c r="V55" s="1">
        <v>31</v>
      </c>
      <c r="W55" s="1">
        <v>31</v>
      </c>
      <c r="X55" s="1">
        <v>5</v>
      </c>
      <c r="Y55" s="1">
        <v>6</v>
      </c>
      <c r="Z55" s="1">
        <v>70</v>
      </c>
      <c r="AA55" s="1">
        <v>42.714285714285715</v>
      </c>
      <c r="AB55" s="1">
        <f xml:space="preserve"> SUM(C55:E55)</f>
        <v>180</v>
      </c>
      <c r="AC55" s="1">
        <f>SUM(F55:H55)</f>
        <v>0</v>
      </c>
      <c r="AD55" s="1">
        <f t="shared" si="0"/>
        <v>180</v>
      </c>
      <c r="AE55" s="1">
        <f>I55/MAX(1,AB55)</f>
        <v>3.3333333333333333E-2</v>
      </c>
      <c r="AF55" s="1">
        <f>J55/MAX(1,AC55)</f>
        <v>0</v>
      </c>
      <c r="AG55" s="1">
        <v>2</v>
      </c>
    </row>
    <row r="56" spans="1:33" x14ac:dyDescent="0.25">
      <c r="A56">
        <v>27</v>
      </c>
      <c r="B56" t="s">
        <v>37</v>
      </c>
      <c r="C56" s="1">
        <v>17</v>
      </c>
      <c r="D56" s="1">
        <v>48</v>
      </c>
      <c r="E56" s="1">
        <v>12</v>
      </c>
      <c r="F56" s="1">
        <v>6</v>
      </c>
      <c r="G56" s="1">
        <v>4</v>
      </c>
      <c r="H56" s="1">
        <v>3</v>
      </c>
      <c r="I56" s="1">
        <v>5</v>
      </c>
      <c r="J56" s="1">
        <v>3</v>
      </c>
      <c r="K56" s="1">
        <v>195.4</v>
      </c>
      <c r="L56" s="1">
        <v>237.73</v>
      </c>
      <c r="M56" s="1">
        <v>41.93</v>
      </c>
      <c r="N56" s="1">
        <v>2279.1999999999998</v>
      </c>
      <c r="O56" s="1">
        <v>2285.4</v>
      </c>
      <c r="P56" s="1">
        <v>6.2000000000002702</v>
      </c>
      <c r="Q56" s="1">
        <v>75</v>
      </c>
      <c r="R56" s="1">
        <v>47</v>
      </c>
      <c r="S56" s="1">
        <v>71</v>
      </c>
      <c r="T56" s="1">
        <v>100</v>
      </c>
      <c r="U56" s="1">
        <v>100</v>
      </c>
      <c r="V56" s="1">
        <v>99</v>
      </c>
      <c r="W56" s="1">
        <v>95</v>
      </c>
      <c r="X56" s="1">
        <v>90</v>
      </c>
      <c r="Y56" s="1">
        <v>53</v>
      </c>
      <c r="Z56" s="1">
        <v>96</v>
      </c>
      <c r="AA56" s="1">
        <v>90.428571428571431</v>
      </c>
      <c r="AB56" s="1">
        <f xml:space="preserve"> SUM(C56:E56)</f>
        <v>77</v>
      </c>
      <c r="AC56" s="1">
        <f>SUM(F56:H56)</f>
        <v>13</v>
      </c>
      <c r="AD56" s="1">
        <f t="shared" si="0"/>
        <v>90</v>
      </c>
      <c r="AE56" s="1">
        <f>I56/MAX(1,AB56)</f>
        <v>6.4935064935064929E-2</v>
      </c>
      <c r="AF56" s="1">
        <f>J56/MAX(1,AC56)</f>
        <v>0.23076923076923078</v>
      </c>
      <c r="AG56" s="1">
        <v>2</v>
      </c>
    </row>
    <row r="57" spans="1:33" x14ac:dyDescent="0.25">
      <c r="A57">
        <v>30</v>
      </c>
      <c r="B57" t="s">
        <v>40</v>
      </c>
      <c r="C57" s="1">
        <v>24</v>
      </c>
      <c r="D57" s="1">
        <v>96</v>
      </c>
      <c r="E57" s="1">
        <v>24</v>
      </c>
      <c r="F57" s="1">
        <v>9</v>
      </c>
      <c r="G57" s="1">
        <v>36</v>
      </c>
      <c r="H57" s="1">
        <v>9</v>
      </c>
      <c r="I57" s="1">
        <v>6</v>
      </c>
      <c r="J57" s="1">
        <v>1</v>
      </c>
      <c r="K57" s="1">
        <v>1115</v>
      </c>
      <c r="L57" s="1">
        <v>1136.2</v>
      </c>
      <c r="M57" s="1">
        <v>21.2</v>
      </c>
      <c r="N57" s="1">
        <v>2359</v>
      </c>
      <c r="O57" s="1">
        <v>2366.1999999999998</v>
      </c>
      <c r="P57" s="1">
        <v>7.1999999999998199</v>
      </c>
      <c r="Q57" s="1">
        <v>90</v>
      </c>
      <c r="R57" s="1">
        <v>100</v>
      </c>
      <c r="S57" s="1">
        <v>83</v>
      </c>
      <c r="T57" s="1">
        <v>78</v>
      </c>
      <c r="U57" s="1">
        <v>78</v>
      </c>
      <c r="V57" s="1">
        <v>65</v>
      </c>
      <c r="W57" s="1">
        <v>50</v>
      </c>
      <c r="X57" s="1">
        <v>11</v>
      </c>
      <c r="Y57" s="1">
        <v>52</v>
      </c>
      <c r="Z57" s="1">
        <v>94</v>
      </c>
      <c r="AA57" s="1">
        <v>61.142857142857146</v>
      </c>
      <c r="AB57" s="1">
        <f xml:space="preserve"> SUM(C57:E57)</f>
        <v>144</v>
      </c>
      <c r="AC57" s="1">
        <f>SUM(F57:H57)</f>
        <v>54</v>
      </c>
      <c r="AD57" s="1">
        <f t="shared" si="0"/>
        <v>198</v>
      </c>
      <c r="AE57" s="1">
        <f>I57/MAX(1,AB57)</f>
        <v>4.1666666666666664E-2</v>
      </c>
      <c r="AF57" s="1">
        <f>J57/MAX(1,AC57)</f>
        <v>1.8518518518518517E-2</v>
      </c>
      <c r="AG57" s="1">
        <v>2</v>
      </c>
    </row>
    <row r="58" spans="1:33" x14ac:dyDescent="0.25">
      <c r="A58">
        <v>35</v>
      </c>
      <c r="B58" t="s">
        <v>45</v>
      </c>
      <c r="C58" s="1">
        <v>20</v>
      </c>
      <c r="D58" s="1">
        <v>47</v>
      </c>
      <c r="E58" s="1">
        <v>16</v>
      </c>
      <c r="F58" s="1">
        <v>14</v>
      </c>
      <c r="G58" s="1">
        <v>49</v>
      </c>
      <c r="H58" s="1">
        <v>17</v>
      </c>
      <c r="I58" s="1">
        <v>6</v>
      </c>
      <c r="J58" s="1">
        <v>7</v>
      </c>
      <c r="K58" s="1">
        <v>6.73</v>
      </c>
      <c r="L58" s="1">
        <v>7.93</v>
      </c>
      <c r="M58" s="1">
        <v>0.87</v>
      </c>
      <c r="N58" s="1">
        <v>1274.07</v>
      </c>
      <c r="O58" s="1">
        <v>1279.67</v>
      </c>
      <c r="P58" s="1">
        <v>5.60000000000014</v>
      </c>
      <c r="Q58" s="1">
        <v>100</v>
      </c>
      <c r="R58" s="1">
        <v>100</v>
      </c>
      <c r="S58" s="1">
        <v>98</v>
      </c>
      <c r="T58" s="1">
        <v>70</v>
      </c>
      <c r="U58" s="1">
        <v>70</v>
      </c>
      <c r="V58" s="1">
        <v>100</v>
      </c>
      <c r="W58" s="1">
        <v>83</v>
      </c>
      <c r="X58" s="1">
        <v>96</v>
      </c>
      <c r="Y58" s="1">
        <v>80</v>
      </c>
      <c r="Z58" s="1">
        <v>81</v>
      </c>
      <c r="AA58" s="1">
        <v>82.857142857142861</v>
      </c>
      <c r="AB58" s="1">
        <f xml:space="preserve"> SUM(C58:E58)</f>
        <v>83</v>
      </c>
      <c r="AC58" s="1">
        <f>SUM(F58:H58)</f>
        <v>80</v>
      </c>
      <c r="AD58" s="1">
        <f t="shared" si="0"/>
        <v>163</v>
      </c>
      <c r="AE58" s="1">
        <f>I58/MAX(1,AB58)</f>
        <v>7.2289156626506021E-2</v>
      </c>
      <c r="AF58" s="1">
        <f>J58/MAX(1,AC58)</f>
        <v>8.7499999999999994E-2</v>
      </c>
      <c r="AG58" s="1">
        <v>2</v>
      </c>
    </row>
    <row r="59" spans="1:33" x14ac:dyDescent="0.25">
      <c r="A59">
        <v>36</v>
      </c>
      <c r="B59" t="s">
        <v>46</v>
      </c>
      <c r="C59" s="1">
        <v>29</v>
      </c>
      <c r="D59" s="1">
        <v>73</v>
      </c>
      <c r="E59" s="1">
        <v>22</v>
      </c>
      <c r="F59" s="1">
        <v>9</v>
      </c>
      <c r="G59" s="1">
        <v>24</v>
      </c>
      <c r="H59" s="1">
        <v>8</v>
      </c>
      <c r="I59" s="1">
        <v>8</v>
      </c>
      <c r="J59" s="1">
        <v>9</v>
      </c>
      <c r="K59" s="1">
        <v>617.33000000000004</v>
      </c>
      <c r="L59" s="1">
        <v>620.87</v>
      </c>
      <c r="M59" s="1">
        <v>3.33</v>
      </c>
      <c r="N59" s="1">
        <v>91.93</v>
      </c>
      <c r="O59" s="1">
        <v>92.07</v>
      </c>
      <c r="P59" s="1">
        <v>0.139999999999986</v>
      </c>
      <c r="Q59" s="1">
        <v>90</v>
      </c>
      <c r="R59" s="1">
        <v>70</v>
      </c>
      <c r="S59" s="1">
        <v>82</v>
      </c>
      <c r="T59" s="1">
        <v>55</v>
      </c>
      <c r="U59" s="1">
        <v>55</v>
      </c>
      <c r="V59" s="1">
        <v>98</v>
      </c>
      <c r="W59" s="1">
        <v>98</v>
      </c>
      <c r="X59" s="1">
        <v>65</v>
      </c>
      <c r="Y59" s="1">
        <v>76</v>
      </c>
      <c r="Z59" s="1">
        <v>66</v>
      </c>
      <c r="AA59" s="1">
        <v>73.285714285714292</v>
      </c>
      <c r="AB59" s="1">
        <f xml:space="preserve"> SUM(C59:E59)</f>
        <v>124</v>
      </c>
      <c r="AC59" s="1">
        <f>SUM(F59:H59)</f>
        <v>41</v>
      </c>
      <c r="AD59" s="1">
        <f t="shared" si="0"/>
        <v>165</v>
      </c>
      <c r="AE59" s="1">
        <f>I59/MAX(1,AB59)</f>
        <v>6.4516129032258063E-2</v>
      </c>
      <c r="AF59" s="1">
        <f>J59/MAX(1,AC59)</f>
        <v>0.21951219512195122</v>
      </c>
      <c r="AG59" s="1">
        <v>2</v>
      </c>
    </row>
    <row r="60" spans="1:33" x14ac:dyDescent="0.25">
      <c r="A60">
        <v>38</v>
      </c>
      <c r="B60" t="s">
        <v>48</v>
      </c>
      <c r="C60" s="1">
        <v>19</v>
      </c>
      <c r="D60" s="1">
        <v>31</v>
      </c>
      <c r="E60" s="1">
        <v>15</v>
      </c>
      <c r="F60" s="1">
        <v>3</v>
      </c>
      <c r="G60" s="1">
        <v>4</v>
      </c>
      <c r="H60" s="1">
        <v>3</v>
      </c>
      <c r="I60" s="1">
        <v>9</v>
      </c>
      <c r="J60" s="1">
        <v>2</v>
      </c>
      <c r="K60" s="1">
        <v>215.67</v>
      </c>
      <c r="L60" s="1">
        <v>221.87</v>
      </c>
      <c r="M60" s="1">
        <v>6.07</v>
      </c>
      <c r="N60" s="1">
        <v>1275.8</v>
      </c>
      <c r="O60" s="1">
        <v>1280</v>
      </c>
      <c r="P60" s="1">
        <v>4.2000000000000499</v>
      </c>
      <c r="Q60" s="1">
        <v>100</v>
      </c>
      <c r="R60" s="1">
        <v>68</v>
      </c>
      <c r="S60" s="1">
        <v>75</v>
      </c>
      <c r="T60" s="1">
        <v>70</v>
      </c>
      <c r="U60" s="1">
        <v>70</v>
      </c>
      <c r="V60" s="1">
        <v>98</v>
      </c>
      <c r="W60" s="1">
        <v>100</v>
      </c>
      <c r="X60" s="1">
        <v>91</v>
      </c>
      <c r="Y60" s="1">
        <v>98</v>
      </c>
      <c r="Z60" s="1">
        <v>98</v>
      </c>
      <c r="AA60" s="1">
        <v>89.285714285714292</v>
      </c>
      <c r="AB60" s="1">
        <f xml:space="preserve"> SUM(C60:E60)</f>
        <v>65</v>
      </c>
      <c r="AC60" s="1">
        <f>SUM(F60:H60)</f>
        <v>10</v>
      </c>
      <c r="AD60" s="1">
        <f t="shared" si="0"/>
        <v>75</v>
      </c>
      <c r="AE60" s="1">
        <f>I60/MAX(1,AB60)</f>
        <v>0.13846153846153847</v>
      </c>
      <c r="AF60" s="1">
        <f>J60/MAX(1,AC60)</f>
        <v>0.2</v>
      </c>
      <c r="AG60" s="1">
        <v>2</v>
      </c>
    </row>
    <row r="61" spans="1:33" x14ac:dyDescent="0.25">
      <c r="A61">
        <v>39</v>
      </c>
      <c r="B61" t="s">
        <v>49</v>
      </c>
      <c r="C61" s="1">
        <v>11</v>
      </c>
      <c r="D61" s="1">
        <v>5</v>
      </c>
      <c r="E61" s="1">
        <v>42</v>
      </c>
      <c r="F61" s="1">
        <v>8</v>
      </c>
      <c r="G61" s="1">
        <v>2</v>
      </c>
      <c r="H61" s="1">
        <v>43</v>
      </c>
      <c r="I61" s="1">
        <v>21</v>
      </c>
      <c r="J61" s="1">
        <v>7</v>
      </c>
      <c r="K61" s="1">
        <v>382.07</v>
      </c>
      <c r="L61" s="1">
        <v>394.07</v>
      </c>
      <c r="M61" s="1">
        <v>11.73</v>
      </c>
      <c r="N61" s="1">
        <v>296.39999999999998</v>
      </c>
      <c r="O61" s="1">
        <v>300.87</v>
      </c>
      <c r="P61" s="1">
        <v>4.4700000000000299</v>
      </c>
      <c r="Q61" s="1">
        <v>100</v>
      </c>
      <c r="R61" s="1">
        <v>74</v>
      </c>
      <c r="S61" s="1">
        <v>87</v>
      </c>
      <c r="T61" s="1">
        <v>100</v>
      </c>
      <c r="U61" s="1">
        <v>100</v>
      </c>
      <c r="V61" s="1">
        <v>100</v>
      </c>
      <c r="W61" s="1">
        <v>96</v>
      </c>
      <c r="X61" s="1">
        <v>99</v>
      </c>
      <c r="Y61" s="1">
        <v>100</v>
      </c>
      <c r="Z61" s="1">
        <v>95</v>
      </c>
      <c r="AA61" s="1">
        <v>98.571428571428569</v>
      </c>
      <c r="AB61" s="1">
        <f xml:space="preserve"> SUM(C61:E61)</f>
        <v>58</v>
      </c>
      <c r="AC61" s="1">
        <f>SUM(F61:H61)</f>
        <v>53</v>
      </c>
      <c r="AD61" s="1">
        <f t="shared" si="0"/>
        <v>111</v>
      </c>
      <c r="AE61" s="1">
        <f>I61/MAX(1,AB61)</f>
        <v>0.36206896551724138</v>
      </c>
      <c r="AF61" s="1">
        <f>J61/MAX(1,AC61)</f>
        <v>0.13207547169811321</v>
      </c>
      <c r="AG61" s="1">
        <v>2</v>
      </c>
    </row>
    <row r="62" spans="1:33" x14ac:dyDescent="0.25">
      <c r="A62">
        <v>42</v>
      </c>
      <c r="B62" t="s">
        <v>52</v>
      </c>
      <c r="C62" s="1">
        <v>15</v>
      </c>
      <c r="D62" s="1">
        <v>32</v>
      </c>
      <c r="E62" s="1">
        <v>27</v>
      </c>
      <c r="F62" s="1">
        <v>0</v>
      </c>
      <c r="G62" s="1">
        <v>0</v>
      </c>
      <c r="H62" s="1">
        <v>0</v>
      </c>
      <c r="I62" s="1">
        <v>11</v>
      </c>
      <c r="J62" s="1">
        <v>1</v>
      </c>
      <c r="K62" s="1">
        <v>737.53</v>
      </c>
      <c r="L62" s="1">
        <v>868.07</v>
      </c>
      <c r="M62" s="1">
        <v>130.53</v>
      </c>
      <c r="N62" s="1">
        <v>957</v>
      </c>
      <c r="O62" s="1">
        <v>960.8</v>
      </c>
      <c r="P62" s="1">
        <v>3.7999999999999501</v>
      </c>
      <c r="Q62" s="1">
        <v>100</v>
      </c>
      <c r="R62" s="1">
        <v>63</v>
      </c>
      <c r="S62" s="1">
        <v>54</v>
      </c>
      <c r="T62" s="1">
        <v>78</v>
      </c>
      <c r="U62" s="1">
        <v>78</v>
      </c>
      <c r="V62" s="1">
        <v>91</v>
      </c>
      <c r="W62" s="1">
        <v>33</v>
      </c>
      <c r="X62" s="1">
        <v>80</v>
      </c>
      <c r="Y62" s="1">
        <v>65</v>
      </c>
      <c r="Z62" s="1">
        <v>65</v>
      </c>
      <c r="AA62" s="1">
        <v>70</v>
      </c>
      <c r="AB62" s="1">
        <f xml:space="preserve"> SUM(C62:E62)</f>
        <v>74</v>
      </c>
      <c r="AC62" s="1">
        <f>SUM(F62:H62)</f>
        <v>0</v>
      </c>
      <c r="AD62" s="1">
        <f t="shared" si="0"/>
        <v>74</v>
      </c>
      <c r="AE62" s="1">
        <f>I62/MAX(1,AB62)</f>
        <v>0.14864864864864866</v>
      </c>
      <c r="AF62" s="1">
        <f>J62/MAX(1,AC62)</f>
        <v>1</v>
      </c>
      <c r="AG62" s="1">
        <v>2</v>
      </c>
    </row>
    <row r="63" spans="1:33" x14ac:dyDescent="0.25">
      <c r="A63">
        <v>43</v>
      </c>
      <c r="B63" t="s">
        <v>53</v>
      </c>
      <c r="C63" s="1">
        <v>21</v>
      </c>
      <c r="D63" s="1">
        <v>81</v>
      </c>
      <c r="E63" s="1">
        <v>21</v>
      </c>
      <c r="F63" s="1">
        <v>8</v>
      </c>
      <c r="G63" s="1">
        <v>32</v>
      </c>
      <c r="H63" s="1">
        <v>8</v>
      </c>
      <c r="I63" s="1">
        <v>3</v>
      </c>
      <c r="J63" s="1">
        <v>0</v>
      </c>
      <c r="K63" s="1">
        <v>2287.6</v>
      </c>
      <c r="L63" s="1">
        <v>2559.6</v>
      </c>
      <c r="M63" s="1">
        <v>271.8</v>
      </c>
      <c r="N63" s="1">
        <v>0</v>
      </c>
      <c r="O63" s="1">
        <v>0</v>
      </c>
      <c r="P63" s="1">
        <v>0</v>
      </c>
      <c r="Q63" s="1">
        <v>80</v>
      </c>
      <c r="R63" s="1">
        <v>11</v>
      </c>
      <c r="S63" s="1">
        <v>0</v>
      </c>
      <c r="T63" s="1">
        <v>40</v>
      </c>
      <c r="U63" s="1">
        <v>40</v>
      </c>
      <c r="V63" s="1">
        <v>91</v>
      </c>
      <c r="W63" s="1">
        <v>0</v>
      </c>
      <c r="X63" s="1">
        <v>48</v>
      </c>
      <c r="Y63" s="1">
        <v>0</v>
      </c>
      <c r="Z63" s="1">
        <v>61</v>
      </c>
      <c r="AA63" s="1">
        <v>40</v>
      </c>
      <c r="AB63" s="1">
        <f xml:space="preserve"> SUM(C63:E63)</f>
        <v>123</v>
      </c>
      <c r="AC63" s="1">
        <f>SUM(F63:H63)</f>
        <v>48</v>
      </c>
      <c r="AD63" s="1">
        <f t="shared" si="0"/>
        <v>171</v>
      </c>
      <c r="AE63" s="1">
        <f>I63/MAX(1,AB63)</f>
        <v>2.4390243902439025E-2</v>
      </c>
      <c r="AF63" s="1">
        <f>J63/MAX(1,AC63)</f>
        <v>0</v>
      </c>
      <c r="AG63" s="1">
        <v>2</v>
      </c>
    </row>
    <row r="64" spans="1:33" x14ac:dyDescent="0.25">
      <c r="A64">
        <v>44</v>
      </c>
      <c r="B64" t="s">
        <v>54</v>
      </c>
      <c r="C64" s="1">
        <v>8</v>
      </c>
      <c r="D64" s="1">
        <v>32</v>
      </c>
      <c r="E64" s="1">
        <v>8</v>
      </c>
      <c r="F64" s="1">
        <v>9</v>
      </c>
      <c r="G64" s="1">
        <v>16</v>
      </c>
      <c r="H64" s="1">
        <v>4</v>
      </c>
      <c r="I64" s="1">
        <v>3</v>
      </c>
      <c r="J64" s="1">
        <v>7</v>
      </c>
      <c r="K64" s="1">
        <v>209</v>
      </c>
      <c r="L64" s="1">
        <v>212.2</v>
      </c>
      <c r="M64" s="1">
        <v>2.8</v>
      </c>
      <c r="N64" s="1">
        <v>860.8</v>
      </c>
      <c r="O64" s="1">
        <v>863</v>
      </c>
      <c r="P64" s="1">
        <v>2.2000000000000499</v>
      </c>
      <c r="Q64" s="1">
        <v>90</v>
      </c>
      <c r="R64" s="1">
        <v>27</v>
      </c>
      <c r="S64" s="1">
        <v>29</v>
      </c>
      <c r="T64" s="1">
        <v>78</v>
      </c>
      <c r="U64" s="1">
        <v>78</v>
      </c>
      <c r="V64" s="1">
        <v>59</v>
      </c>
      <c r="W64" s="1">
        <v>0</v>
      </c>
      <c r="X64" s="1">
        <v>59</v>
      </c>
      <c r="Y64" s="1">
        <v>65</v>
      </c>
      <c r="Z64" s="1">
        <v>100</v>
      </c>
      <c r="AA64" s="1">
        <v>62.714285714285715</v>
      </c>
      <c r="AB64" s="1">
        <f xml:space="preserve"> SUM(C64:E64)</f>
        <v>48</v>
      </c>
      <c r="AC64" s="1">
        <f>SUM(F64:H64)</f>
        <v>29</v>
      </c>
      <c r="AD64" s="1">
        <f t="shared" si="0"/>
        <v>77</v>
      </c>
      <c r="AE64" s="1">
        <f>I64/MAX(1,AB64)</f>
        <v>6.25E-2</v>
      </c>
      <c r="AF64" s="1">
        <f>J64/MAX(1,AC64)</f>
        <v>0.2413793103448276</v>
      </c>
      <c r="AG64" s="1">
        <v>2</v>
      </c>
    </row>
    <row r="65" spans="1:33" x14ac:dyDescent="0.25">
      <c r="A65">
        <v>45</v>
      </c>
      <c r="B65" t="s">
        <v>55</v>
      </c>
      <c r="C65" s="1">
        <v>19</v>
      </c>
      <c r="D65" s="1">
        <v>54</v>
      </c>
      <c r="E65" s="1">
        <v>15</v>
      </c>
      <c r="F65" s="1">
        <v>15</v>
      </c>
      <c r="G65" s="1">
        <v>58</v>
      </c>
      <c r="H65" s="1">
        <v>13</v>
      </c>
      <c r="I65" s="1">
        <v>3</v>
      </c>
      <c r="J65" s="1">
        <v>0</v>
      </c>
      <c r="K65" s="1">
        <v>724.07</v>
      </c>
      <c r="L65" s="1">
        <v>724.73</v>
      </c>
      <c r="M65" s="1">
        <v>0.6</v>
      </c>
      <c r="N65" s="1">
        <v>769.8</v>
      </c>
      <c r="O65" s="1">
        <v>771.8</v>
      </c>
      <c r="P65" s="1">
        <v>2</v>
      </c>
      <c r="Q65" s="1">
        <v>100</v>
      </c>
      <c r="R65" s="1">
        <v>56</v>
      </c>
      <c r="S65" s="1">
        <v>77</v>
      </c>
      <c r="T65" s="1">
        <v>15</v>
      </c>
      <c r="U65" s="1">
        <v>15</v>
      </c>
      <c r="V65" s="1">
        <v>86</v>
      </c>
      <c r="W65" s="1">
        <v>80</v>
      </c>
      <c r="X65" s="1">
        <v>56</v>
      </c>
      <c r="Y65" s="1">
        <v>78</v>
      </c>
      <c r="Z65" s="1">
        <v>78</v>
      </c>
      <c r="AA65" s="1">
        <v>58.285714285714285</v>
      </c>
      <c r="AB65" s="1">
        <f xml:space="preserve"> SUM(C65:E65)</f>
        <v>88</v>
      </c>
      <c r="AC65" s="1">
        <f>SUM(F65:H65)</f>
        <v>86</v>
      </c>
      <c r="AD65" s="1">
        <f t="shared" si="0"/>
        <v>174</v>
      </c>
      <c r="AE65" s="1">
        <f>I65/MAX(1,AB65)</f>
        <v>3.4090909090909088E-2</v>
      </c>
      <c r="AF65" s="1">
        <f>J65/MAX(1,AC65)</f>
        <v>0</v>
      </c>
      <c r="AG65" s="1">
        <v>2</v>
      </c>
    </row>
    <row r="66" spans="1:33" x14ac:dyDescent="0.25">
      <c r="A66">
        <v>54</v>
      </c>
      <c r="B66" t="s">
        <v>64</v>
      </c>
      <c r="C66" s="1">
        <v>14</v>
      </c>
      <c r="D66" s="1">
        <v>24</v>
      </c>
      <c r="E66" s="1">
        <v>17</v>
      </c>
      <c r="F66" s="1">
        <v>4</v>
      </c>
      <c r="G66" s="1">
        <v>10</v>
      </c>
      <c r="H66" s="1">
        <v>15</v>
      </c>
      <c r="I66" s="1">
        <v>19</v>
      </c>
      <c r="J66" s="1">
        <v>8</v>
      </c>
      <c r="K66" s="1">
        <v>72.27</v>
      </c>
      <c r="L66" s="1">
        <v>82.8</v>
      </c>
      <c r="M66" s="1">
        <v>9.8699999999999992</v>
      </c>
      <c r="N66" s="1">
        <v>2606.5300000000002</v>
      </c>
      <c r="O66" s="1">
        <v>2614.9299999999998</v>
      </c>
      <c r="P66" s="1">
        <v>8.3999999999996398</v>
      </c>
      <c r="Q66" s="1">
        <v>95</v>
      </c>
      <c r="R66" s="1">
        <v>69</v>
      </c>
      <c r="S66" s="1">
        <v>51</v>
      </c>
      <c r="T66" s="1">
        <v>70</v>
      </c>
      <c r="U66" s="1">
        <v>70</v>
      </c>
      <c r="V66" s="1">
        <v>98</v>
      </c>
      <c r="W66" s="1">
        <v>98</v>
      </c>
      <c r="X66" s="1">
        <v>100</v>
      </c>
      <c r="Y66" s="1">
        <v>100</v>
      </c>
      <c r="Z66" s="1">
        <v>100</v>
      </c>
      <c r="AA66" s="1">
        <v>90.857142857142861</v>
      </c>
      <c r="AB66" s="1">
        <f xml:space="preserve"> SUM(C66:E66)</f>
        <v>55</v>
      </c>
      <c r="AC66" s="1">
        <f>SUM(F66:H66)</f>
        <v>29</v>
      </c>
      <c r="AD66" s="1">
        <f t="shared" si="0"/>
        <v>84</v>
      </c>
      <c r="AE66" s="1">
        <f>I66/MAX(1,AB66)</f>
        <v>0.34545454545454546</v>
      </c>
      <c r="AF66" s="1">
        <f>J66/MAX(1,AC66)</f>
        <v>0.27586206896551724</v>
      </c>
      <c r="AG66" s="1">
        <v>2</v>
      </c>
    </row>
    <row r="67" spans="1:33" x14ac:dyDescent="0.25">
      <c r="A67">
        <v>55</v>
      </c>
      <c r="B67" t="s">
        <v>65</v>
      </c>
      <c r="C67" s="1">
        <v>27</v>
      </c>
      <c r="D67" s="1">
        <v>96</v>
      </c>
      <c r="E67" s="1">
        <v>31</v>
      </c>
      <c r="F67" s="1">
        <v>32</v>
      </c>
      <c r="G67" s="1">
        <v>124</v>
      </c>
      <c r="H67" s="1">
        <v>32</v>
      </c>
      <c r="I67" s="1">
        <v>6</v>
      </c>
      <c r="J67" s="1">
        <v>5</v>
      </c>
      <c r="K67" s="1">
        <v>872.8</v>
      </c>
      <c r="L67" s="1">
        <v>878.8</v>
      </c>
      <c r="M67" s="1">
        <v>5.8</v>
      </c>
      <c r="N67" s="1">
        <v>312.39999999999998</v>
      </c>
      <c r="O67" s="1">
        <v>319.47000000000003</v>
      </c>
      <c r="P67" s="1">
        <v>7.07000000000005</v>
      </c>
      <c r="Q67" s="1">
        <v>100</v>
      </c>
      <c r="R67" s="1">
        <v>74</v>
      </c>
      <c r="S67" s="1">
        <v>76</v>
      </c>
      <c r="T67" s="1">
        <v>40</v>
      </c>
      <c r="U67" s="1">
        <v>40</v>
      </c>
      <c r="V67" s="1">
        <v>99</v>
      </c>
      <c r="W67" s="1">
        <v>82</v>
      </c>
      <c r="X67" s="1">
        <v>98</v>
      </c>
      <c r="Y67" s="1">
        <v>98</v>
      </c>
      <c r="Z67" s="1">
        <v>82</v>
      </c>
      <c r="AA67" s="1">
        <v>77</v>
      </c>
      <c r="AB67" s="1">
        <f xml:space="preserve"> SUM(C67:E67)</f>
        <v>154</v>
      </c>
      <c r="AC67" s="1">
        <f>SUM(F67:H67)</f>
        <v>188</v>
      </c>
      <c r="AD67" s="1">
        <f t="shared" ref="AD67:AD74" si="1">SUM(AB67:AC67)</f>
        <v>342</v>
      </c>
      <c r="AE67" s="1">
        <f>I67/MAX(1,AB67)</f>
        <v>3.896103896103896E-2</v>
      </c>
      <c r="AF67" s="1">
        <f>J67/MAX(1,AC67)</f>
        <v>2.6595744680851064E-2</v>
      </c>
      <c r="AG67" s="1">
        <v>2</v>
      </c>
    </row>
    <row r="68" spans="1:33" x14ac:dyDescent="0.25">
      <c r="A68">
        <v>56</v>
      </c>
      <c r="B68" t="s">
        <v>66</v>
      </c>
      <c r="C68" s="1">
        <v>21</v>
      </c>
      <c r="D68" s="1">
        <v>67</v>
      </c>
      <c r="E68" s="1">
        <v>30</v>
      </c>
      <c r="F68" s="1">
        <v>14</v>
      </c>
      <c r="G68" s="1">
        <v>0</v>
      </c>
      <c r="H68" s="1">
        <v>17</v>
      </c>
      <c r="I68" s="1">
        <v>5</v>
      </c>
      <c r="J68" s="1">
        <v>5</v>
      </c>
      <c r="K68" s="1">
        <v>181</v>
      </c>
      <c r="L68" s="1">
        <v>184.8</v>
      </c>
      <c r="M68" s="1">
        <v>3.67</v>
      </c>
      <c r="N68" s="1">
        <v>1207.4000000000001</v>
      </c>
      <c r="O68" s="1">
        <v>1214.67</v>
      </c>
      <c r="P68" s="1">
        <v>7.26999999999998</v>
      </c>
      <c r="Q68" s="1">
        <v>100</v>
      </c>
      <c r="R68" s="1">
        <v>67</v>
      </c>
      <c r="S68" s="1">
        <v>87</v>
      </c>
      <c r="T68" s="1">
        <v>70</v>
      </c>
      <c r="U68" s="1">
        <v>70</v>
      </c>
      <c r="V68" s="1">
        <v>100</v>
      </c>
      <c r="W68" s="1">
        <v>98</v>
      </c>
      <c r="X68" s="1">
        <v>100</v>
      </c>
      <c r="Y68" s="1">
        <v>99</v>
      </c>
      <c r="Z68" s="1">
        <v>98</v>
      </c>
      <c r="AA68" s="1">
        <v>90.714285714285708</v>
      </c>
      <c r="AB68" s="1">
        <f xml:space="preserve"> SUM(C68:E68)</f>
        <v>118</v>
      </c>
      <c r="AC68" s="1">
        <f>SUM(F68:H68)</f>
        <v>31</v>
      </c>
      <c r="AD68" s="1">
        <f t="shared" si="1"/>
        <v>149</v>
      </c>
      <c r="AE68" s="1">
        <f>I68/MAX(1,AB68)</f>
        <v>4.2372881355932202E-2</v>
      </c>
      <c r="AF68" s="1">
        <f>J68/MAX(1,AC68)</f>
        <v>0.16129032258064516</v>
      </c>
      <c r="AG68" s="1">
        <v>2</v>
      </c>
    </row>
    <row r="69" spans="1:33" x14ac:dyDescent="0.25">
      <c r="A69">
        <v>57</v>
      </c>
      <c r="B69" t="s">
        <v>67</v>
      </c>
      <c r="C69" s="1">
        <v>6</v>
      </c>
      <c r="D69" s="1">
        <v>23</v>
      </c>
      <c r="E69" s="1">
        <v>10</v>
      </c>
      <c r="F69" s="1">
        <v>10</v>
      </c>
      <c r="G69" s="1">
        <v>0</v>
      </c>
      <c r="H69" s="1">
        <v>17</v>
      </c>
      <c r="I69" s="1">
        <v>6</v>
      </c>
      <c r="J69" s="1">
        <v>7</v>
      </c>
      <c r="K69" s="1">
        <v>516.73</v>
      </c>
      <c r="L69" s="1">
        <v>517.53</v>
      </c>
      <c r="M69" s="1">
        <v>0.53</v>
      </c>
      <c r="N69" s="1">
        <v>97.67</v>
      </c>
      <c r="O69" s="1">
        <v>98.73</v>
      </c>
      <c r="P69" s="1">
        <v>1.06</v>
      </c>
      <c r="Q69" s="1">
        <v>100</v>
      </c>
      <c r="R69" s="1">
        <v>75</v>
      </c>
      <c r="S69" s="1">
        <v>61</v>
      </c>
      <c r="T69" s="1">
        <v>49</v>
      </c>
      <c r="U69" s="1">
        <v>49</v>
      </c>
      <c r="V69" s="1">
        <v>95</v>
      </c>
      <c r="W69" s="1">
        <v>83</v>
      </c>
      <c r="X69" s="1">
        <v>65</v>
      </c>
      <c r="Y69" s="1">
        <v>79</v>
      </c>
      <c r="Z69" s="1">
        <v>82</v>
      </c>
      <c r="AA69" s="1">
        <v>71.714285714285708</v>
      </c>
      <c r="AB69" s="1">
        <f xml:space="preserve"> SUM(C69:E69)</f>
        <v>39</v>
      </c>
      <c r="AC69" s="1">
        <f>SUM(F69:H69)</f>
        <v>27</v>
      </c>
      <c r="AD69" s="1">
        <f t="shared" si="1"/>
        <v>66</v>
      </c>
      <c r="AE69" s="1">
        <f>I69/MAX(1,AB69)</f>
        <v>0.15384615384615385</v>
      </c>
      <c r="AF69" s="1">
        <f>J69/MAX(1,AC69)</f>
        <v>0.25925925925925924</v>
      </c>
      <c r="AG69" s="1">
        <v>2</v>
      </c>
    </row>
    <row r="70" spans="1:33" x14ac:dyDescent="0.25">
      <c r="A70">
        <v>62</v>
      </c>
      <c r="B70" t="s">
        <v>72</v>
      </c>
      <c r="C70" s="1">
        <v>41</v>
      </c>
      <c r="D70" s="1">
        <v>164</v>
      </c>
      <c r="E70" s="1">
        <v>41</v>
      </c>
      <c r="F70" s="1">
        <v>0</v>
      </c>
      <c r="G70" s="1">
        <v>0</v>
      </c>
      <c r="H70" s="1">
        <v>0</v>
      </c>
      <c r="I70" s="1">
        <v>19</v>
      </c>
      <c r="J70" s="1">
        <v>0</v>
      </c>
      <c r="K70" s="1">
        <v>1817</v>
      </c>
      <c r="L70" s="1">
        <v>1826</v>
      </c>
      <c r="M70" s="1">
        <v>9</v>
      </c>
      <c r="N70" s="1">
        <v>1304.4000000000001</v>
      </c>
      <c r="O70" s="1">
        <v>1307.2</v>
      </c>
      <c r="P70" s="1">
        <v>2.7999999999999501</v>
      </c>
      <c r="Q70" s="1">
        <v>95</v>
      </c>
      <c r="R70" s="1">
        <v>64</v>
      </c>
      <c r="S70" s="1">
        <v>75</v>
      </c>
      <c r="T70" s="1">
        <v>70</v>
      </c>
      <c r="U70" s="1">
        <v>70</v>
      </c>
      <c r="V70" s="1">
        <v>96</v>
      </c>
      <c r="W70" s="1">
        <v>83</v>
      </c>
      <c r="X70" s="1">
        <v>36</v>
      </c>
      <c r="Y70" s="1">
        <v>15</v>
      </c>
      <c r="Z70" s="1">
        <v>77</v>
      </c>
      <c r="AA70" s="1">
        <v>63.857142857142854</v>
      </c>
      <c r="AB70" s="1">
        <f xml:space="preserve"> SUM(C70:E70)</f>
        <v>246</v>
      </c>
      <c r="AC70" s="1">
        <f>SUM(F70:H70)</f>
        <v>0</v>
      </c>
      <c r="AD70" s="1">
        <f t="shared" si="1"/>
        <v>246</v>
      </c>
      <c r="AE70" s="1">
        <f>I70/MAX(1,AB70)</f>
        <v>7.7235772357723581E-2</v>
      </c>
      <c r="AF70" s="1">
        <f>J70/MAX(1,AC70)</f>
        <v>0</v>
      </c>
      <c r="AG70" s="1">
        <v>2</v>
      </c>
    </row>
    <row r="71" spans="1:33" x14ac:dyDescent="0.25">
      <c r="A71">
        <v>64</v>
      </c>
      <c r="B71" t="s">
        <v>74</v>
      </c>
      <c r="C71" s="1">
        <v>23</v>
      </c>
      <c r="D71" s="1">
        <v>84</v>
      </c>
      <c r="E71" s="1">
        <v>21</v>
      </c>
      <c r="F71" s="1">
        <v>0</v>
      </c>
      <c r="G71" s="1">
        <v>0</v>
      </c>
      <c r="H71" s="1">
        <v>0</v>
      </c>
      <c r="I71" s="1">
        <v>3</v>
      </c>
      <c r="J71" s="1">
        <v>0</v>
      </c>
      <c r="K71" s="1">
        <v>419.6</v>
      </c>
      <c r="L71" s="1">
        <v>640.53</v>
      </c>
      <c r="M71" s="1">
        <v>220.93</v>
      </c>
      <c r="N71" s="1">
        <v>949.93</v>
      </c>
      <c r="O71" s="1">
        <v>953.53</v>
      </c>
      <c r="P71" s="1">
        <v>3.6000000000000201</v>
      </c>
      <c r="Q71" s="1">
        <v>90</v>
      </c>
      <c r="R71" s="1">
        <v>17</v>
      </c>
      <c r="S71" s="1">
        <v>24</v>
      </c>
      <c r="T71" s="1">
        <v>35</v>
      </c>
      <c r="U71" s="1">
        <v>35</v>
      </c>
      <c r="V71" s="1">
        <v>41</v>
      </c>
      <c r="W71" s="1">
        <v>60</v>
      </c>
      <c r="X71" s="1">
        <v>92</v>
      </c>
      <c r="Y71" s="1">
        <v>88</v>
      </c>
      <c r="Z71" s="1">
        <v>43</v>
      </c>
      <c r="AA71" s="1">
        <v>56.285714285714285</v>
      </c>
      <c r="AB71" s="1">
        <f xml:space="preserve"> SUM(C71:E71)</f>
        <v>128</v>
      </c>
      <c r="AC71" s="1">
        <f>SUM(F71:H71)</f>
        <v>0</v>
      </c>
      <c r="AD71" s="1">
        <f t="shared" si="1"/>
        <v>128</v>
      </c>
      <c r="AE71" s="1">
        <f>I71/MAX(1,AB71)</f>
        <v>2.34375E-2</v>
      </c>
      <c r="AF71" s="1">
        <f>J71/MAX(1,AC71)</f>
        <v>0</v>
      </c>
      <c r="AG71" s="1">
        <v>2</v>
      </c>
    </row>
    <row r="72" spans="1:33" x14ac:dyDescent="0.25">
      <c r="A72">
        <v>65</v>
      </c>
      <c r="B72" t="s">
        <v>75</v>
      </c>
      <c r="C72" s="1">
        <v>26</v>
      </c>
      <c r="D72" s="1">
        <v>104</v>
      </c>
      <c r="E72" s="1">
        <v>26</v>
      </c>
      <c r="F72" s="1">
        <v>27</v>
      </c>
      <c r="G72" s="1">
        <v>108</v>
      </c>
      <c r="H72" s="1">
        <v>27</v>
      </c>
      <c r="I72" s="1">
        <v>1</v>
      </c>
      <c r="J72" s="1">
        <v>1</v>
      </c>
      <c r="K72" s="1">
        <v>1811.2</v>
      </c>
      <c r="L72" s="1">
        <v>1816.4</v>
      </c>
      <c r="M72" s="1">
        <v>5.2</v>
      </c>
      <c r="N72" s="1">
        <v>233.2</v>
      </c>
      <c r="O72" s="1">
        <v>234.2</v>
      </c>
      <c r="P72" s="1">
        <v>1</v>
      </c>
      <c r="Q72" s="1">
        <v>75</v>
      </c>
      <c r="R72" s="1">
        <v>11</v>
      </c>
      <c r="S72" s="1">
        <v>10</v>
      </c>
      <c r="T72" s="1">
        <v>78</v>
      </c>
      <c r="U72" s="1">
        <v>78</v>
      </c>
      <c r="V72" s="1">
        <v>89</v>
      </c>
      <c r="W72" s="1">
        <v>82</v>
      </c>
      <c r="X72" s="1">
        <v>97</v>
      </c>
      <c r="Y72" s="1">
        <v>98</v>
      </c>
      <c r="Z72" s="1">
        <v>95</v>
      </c>
      <c r="AA72" s="1">
        <v>88.142857142857139</v>
      </c>
      <c r="AB72" s="1">
        <f xml:space="preserve"> SUM(C72:E72)</f>
        <v>156</v>
      </c>
      <c r="AC72" s="1">
        <f>SUM(F72:H72)</f>
        <v>162</v>
      </c>
      <c r="AD72" s="1">
        <f t="shared" si="1"/>
        <v>318</v>
      </c>
      <c r="AE72" s="1">
        <f>I72/MAX(1,AB72)</f>
        <v>6.41025641025641E-3</v>
      </c>
      <c r="AF72" s="1">
        <f>J72/MAX(1,AC72)</f>
        <v>6.1728395061728392E-3</v>
      </c>
      <c r="AG72" s="1">
        <v>2</v>
      </c>
    </row>
    <row r="73" spans="1:33" x14ac:dyDescent="0.25">
      <c r="A73">
        <v>67</v>
      </c>
      <c r="B73" t="s">
        <v>77</v>
      </c>
      <c r="C73" s="1">
        <v>26</v>
      </c>
      <c r="D73" s="1">
        <v>55</v>
      </c>
      <c r="E73" s="1">
        <v>9</v>
      </c>
      <c r="F73" s="1">
        <v>11</v>
      </c>
      <c r="G73" s="1">
        <v>38</v>
      </c>
      <c r="H73" s="1">
        <v>9</v>
      </c>
      <c r="I73" s="1">
        <v>10</v>
      </c>
      <c r="J73" s="1">
        <v>4</v>
      </c>
      <c r="K73" s="1">
        <v>134.80000000000001</v>
      </c>
      <c r="L73" s="1">
        <v>151</v>
      </c>
      <c r="M73" s="1">
        <v>16.07</v>
      </c>
      <c r="N73" s="1">
        <v>2846.8</v>
      </c>
      <c r="O73" s="1">
        <v>2855.2</v>
      </c>
      <c r="P73" s="1">
        <v>8.3999999999996398</v>
      </c>
      <c r="Q73" s="1">
        <v>100</v>
      </c>
      <c r="R73" s="1">
        <v>29</v>
      </c>
      <c r="S73" s="1">
        <v>47</v>
      </c>
      <c r="T73" s="1">
        <v>35</v>
      </c>
      <c r="U73" s="1">
        <v>35</v>
      </c>
      <c r="V73" s="1">
        <v>97</v>
      </c>
      <c r="W73" s="1">
        <v>99</v>
      </c>
      <c r="X73" s="1">
        <v>80</v>
      </c>
      <c r="Y73" s="1">
        <v>49</v>
      </c>
      <c r="Z73" s="1">
        <v>42</v>
      </c>
      <c r="AA73" s="1">
        <v>62.428571428571431</v>
      </c>
      <c r="AB73" s="1">
        <f xml:space="preserve"> SUM(C73:E73)</f>
        <v>90</v>
      </c>
      <c r="AC73" s="1">
        <f>SUM(F73:H73)</f>
        <v>58</v>
      </c>
      <c r="AD73" s="1">
        <f t="shared" si="1"/>
        <v>148</v>
      </c>
      <c r="AE73" s="1">
        <f>I73/MAX(1,AB73)</f>
        <v>0.1111111111111111</v>
      </c>
      <c r="AF73" s="1">
        <f>J73/MAX(1,AC73)</f>
        <v>6.8965517241379309E-2</v>
      </c>
      <c r="AG73" s="1">
        <v>2</v>
      </c>
    </row>
    <row r="74" spans="1:33" x14ac:dyDescent="0.25">
      <c r="A74">
        <v>68</v>
      </c>
      <c r="B74" t="s">
        <v>78</v>
      </c>
      <c r="C74" s="1">
        <v>26</v>
      </c>
      <c r="D74" s="1">
        <v>53</v>
      </c>
      <c r="E74" s="1">
        <v>31</v>
      </c>
      <c r="F74" s="1">
        <v>23</v>
      </c>
      <c r="G74" s="1">
        <v>17</v>
      </c>
      <c r="H74" s="1">
        <v>7</v>
      </c>
      <c r="I74" s="1">
        <v>11</v>
      </c>
      <c r="J74" s="1">
        <v>8</v>
      </c>
      <c r="K74" s="1">
        <v>113.33</v>
      </c>
      <c r="L74" s="1">
        <v>115.53</v>
      </c>
      <c r="M74" s="1">
        <v>1.8</v>
      </c>
      <c r="N74" s="1">
        <v>65.599999999999994</v>
      </c>
      <c r="O74" s="1">
        <v>65.8</v>
      </c>
      <c r="P74" s="1">
        <v>0.20000000000000301</v>
      </c>
      <c r="Q74" s="1">
        <v>100</v>
      </c>
      <c r="R74" s="1">
        <v>67</v>
      </c>
      <c r="S74" s="1">
        <v>79</v>
      </c>
      <c r="T74" s="1">
        <v>85</v>
      </c>
      <c r="U74" s="1">
        <v>85</v>
      </c>
      <c r="V74" s="1">
        <v>99</v>
      </c>
      <c r="W74" s="1">
        <v>50</v>
      </c>
      <c r="X74" s="1">
        <v>98</v>
      </c>
      <c r="Y74" s="1">
        <v>83</v>
      </c>
      <c r="Z74" s="1">
        <v>89</v>
      </c>
      <c r="AA74" s="1">
        <v>84.142857142857139</v>
      </c>
      <c r="AB74" s="1">
        <f xml:space="preserve"> SUM(C74:E74)</f>
        <v>110</v>
      </c>
      <c r="AC74" s="1">
        <f>SUM(F74:H74)</f>
        <v>47</v>
      </c>
      <c r="AD74" s="1">
        <f t="shared" si="1"/>
        <v>157</v>
      </c>
      <c r="AE74" s="1">
        <f>I74/MAX(1,AB74)</f>
        <v>0.1</v>
      </c>
      <c r="AF74" s="1">
        <f>J74/MAX(1,AC74)</f>
        <v>0.1702127659574468</v>
      </c>
      <c r="AG74" s="1">
        <v>2</v>
      </c>
    </row>
  </sheetData>
  <pageMargins left="0.7" right="0.7" top="0.75" bottom="0.75" header="0.3" footer="0.3"/>
  <pageSetup paperSize="9" orientation="portrait" horizontalDpi="300" verticalDpi="300" r:id="rId1"/>
  <ignoredErrors>
    <ignoredError sqref="AB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Clustering-Result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楊皇成</cp:lastModifiedBy>
  <dcterms:created xsi:type="dcterms:W3CDTF">2025-09-16T14:02:25Z</dcterms:created>
  <dcterms:modified xsi:type="dcterms:W3CDTF">2025-11-11T07:44:24Z</dcterms:modified>
</cp:coreProperties>
</file>